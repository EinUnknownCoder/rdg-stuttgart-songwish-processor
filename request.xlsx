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9"/>
  <workbookPr/>
  <mc:AlternateContent xmlns:mc="http://schemas.openxmlformats.org/markup-compatibility/2006">
    <mc:Choice Requires="x15">
      <x15ac:absPath xmlns:x15ac="http://schemas.microsoft.com/office/spreadsheetml/2010/11/ac" url="/Users/philongtran/Developer/claude-code-rdg-playlist-maker/"/>
    </mc:Choice>
  </mc:AlternateContent>
  <xr:revisionPtr revIDLastSave="0" documentId="13_ncr:1_{E9923E7B-A1F9-2D4D-904A-A866EC5E209D}" xr6:coauthVersionLast="47" xr6:coauthVersionMax="47" xr10:uidLastSave="{00000000-0000-0000-0000-000000000000}"/>
  <bookViews>
    <workbookView xWindow="0" yWindow="680" windowWidth="14700" windowHeight="17220" activeTab="2" xr2:uid="{00000000-000D-0000-FFFF-FFFF00000000}"/>
  </bookViews>
  <sheets>
    <sheet name="Playlist Configuration" sheetId="2" r:id="rId1"/>
    <sheet name="List Rules" sheetId="3" r:id="rId2"/>
    <sheet name="Songlist"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4" i="1" l="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J78" i="1"/>
  <c r="J93" i="1"/>
  <c r="J103" i="1"/>
  <c r="J25" i="1"/>
  <c r="J74" i="1"/>
  <c r="J82" i="1"/>
  <c r="J32" i="1"/>
  <c r="J91" i="1"/>
  <c r="J83" i="1"/>
  <c r="J18" i="1"/>
  <c r="J87" i="1"/>
  <c r="J17" i="1"/>
  <c r="J48" i="1"/>
  <c r="J59" i="1"/>
  <c r="J101" i="1"/>
  <c r="J46" i="1"/>
  <c r="J26" i="1"/>
  <c r="J68" i="1"/>
  <c r="J34" i="1"/>
  <c r="J50" i="1"/>
  <c r="J23" i="1"/>
  <c r="J38" i="1"/>
  <c r="J86" i="1"/>
  <c r="J31" i="1"/>
  <c r="J6" i="1"/>
  <c r="J39" i="1"/>
  <c r="J56" i="1"/>
  <c r="J64" i="1"/>
  <c r="J2" i="1"/>
  <c r="J47" i="1"/>
  <c r="J7" i="1"/>
  <c r="J20" i="1"/>
  <c r="J60" i="1"/>
  <c r="K78" i="1"/>
  <c r="K93" i="1"/>
  <c r="K103" i="1"/>
  <c r="K25" i="1"/>
  <c r="K74" i="1"/>
  <c r="K82" i="1"/>
  <c r="K32" i="1"/>
  <c r="K91" i="1"/>
  <c r="K83" i="1"/>
  <c r="K18" i="1"/>
  <c r="K87" i="1"/>
  <c r="K17" i="1"/>
  <c r="K48" i="1"/>
  <c r="K59" i="1"/>
  <c r="K101" i="1"/>
  <c r="K46" i="1"/>
  <c r="K26" i="1"/>
  <c r="K68" i="1"/>
  <c r="K34" i="1"/>
  <c r="K50" i="1"/>
  <c r="K23" i="1"/>
  <c r="K38" i="1"/>
  <c r="K86" i="1"/>
  <c r="K31" i="1"/>
  <c r="K6" i="1"/>
  <c r="K39" i="1"/>
  <c r="K56" i="1"/>
  <c r="K64" i="1"/>
  <c r="K2" i="1"/>
  <c r="K47" i="1"/>
  <c r="K7" i="1"/>
  <c r="K20" i="1"/>
  <c r="K60" i="1"/>
  <c r="J77" i="1"/>
  <c r="J28" i="1"/>
  <c r="J75" i="1"/>
  <c r="J33" i="1"/>
  <c r="J58" i="1"/>
  <c r="J85" i="1"/>
  <c r="J36" i="1"/>
  <c r="J90" i="1"/>
  <c r="J89" i="1"/>
  <c r="J81" i="1"/>
  <c r="J70" i="1"/>
  <c r="J62" i="1"/>
  <c r="J73" i="1"/>
  <c r="J99" i="1"/>
  <c r="J100" i="1"/>
  <c r="J76" i="1"/>
  <c r="J14" i="1"/>
  <c r="J41" i="1"/>
  <c r="J95" i="1"/>
  <c r="J11" i="1"/>
  <c r="J65" i="1"/>
  <c r="J88" i="1"/>
  <c r="J9" i="1"/>
  <c r="J102" i="1"/>
  <c r="J61" i="1"/>
  <c r="J42" i="1"/>
  <c r="J49" i="1"/>
  <c r="J37" i="1"/>
  <c r="J16" i="1"/>
  <c r="J19" i="1"/>
  <c r="J63" i="1"/>
  <c r="J45" i="1"/>
  <c r="J53" i="1"/>
  <c r="K77" i="1"/>
  <c r="K28" i="1"/>
  <c r="K75" i="1"/>
  <c r="K33" i="1"/>
  <c r="K58" i="1"/>
  <c r="K85" i="1"/>
  <c r="K36" i="1"/>
  <c r="K90" i="1"/>
  <c r="K89" i="1"/>
  <c r="K81" i="1"/>
  <c r="K70" i="1"/>
  <c r="K62" i="1"/>
  <c r="K73" i="1"/>
  <c r="K99" i="1"/>
  <c r="K100" i="1"/>
  <c r="K76" i="1"/>
  <c r="K14" i="1"/>
  <c r="K41" i="1"/>
  <c r="K95" i="1"/>
  <c r="K11" i="1"/>
  <c r="K65" i="1"/>
  <c r="K88" i="1"/>
  <c r="K9" i="1"/>
  <c r="K102" i="1"/>
  <c r="K61" i="1"/>
  <c r="K42" i="1"/>
  <c r="K49" i="1"/>
  <c r="K37" i="1"/>
  <c r="K16" i="1"/>
  <c r="K19" i="1"/>
  <c r="K63" i="1"/>
  <c r="K45" i="1"/>
  <c r="K53" i="1"/>
  <c r="J92" i="1"/>
  <c r="J54" i="1"/>
  <c r="J84" i="1"/>
  <c r="J96" i="1"/>
  <c r="J57" i="1"/>
  <c r="J29" i="1"/>
  <c r="J10" i="1"/>
  <c r="J30" i="1"/>
  <c r="J40" i="1"/>
  <c r="J24" i="1"/>
  <c r="J69" i="1"/>
  <c r="J8" i="1"/>
  <c r="J52" i="1"/>
  <c r="J97" i="1"/>
  <c r="J66" i="1"/>
  <c r="J4" i="1"/>
  <c r="J27" i="1"/>
  <c r="J13" i="1"/>
  <c r="J21" i="1"/>
  <c r="J72" i="1"/>
  <c r="J51" i="1"/>
  <c r="J43" i="1"/>
  <c r="J22" i="1"/>
  <c r="J35" i="1"/>
  <c r="J55" i="1"/>
  <c r="J98" i="1"/>
  <c r="J94" i="1"/>
  <c r="J79" i="1"/>
  <c r="J15" i="1"/>
  <c r="J12" i="1"/>
  <c r="J67" i="1"/>
  <c r="J3" i="1"/>
  <c r="J71" i="1"/>
  <c r="J44" i="1"/>
  <c r="J80" i="1"/>
  <c r="J5" i="1"/>
  <c r="K92" i="1"/>
  <c r="K54" i="1"/>
  <c r="K84" i="1"/>
  <c r="K96" i="1"/>
  <c r="K57" i="1"/>
  <c r="K29" i="1"/>
  <c r="K10" i="1"/>
  <c r="K30" i="1"/>
  <c r="K40" i="1"/>
  <c r="K24" i="1"/>
  <c r="K69" i="1"/>
  <c r="K8" i="1"/>
  <c r="K52" i="1"/>
  <c r="K97" i="1"/>
  <c r="K66" i="1"/>
  <c r="K4" i="1"/>
  <c r="K27" i="1"/>
  <c r="K13" i="1"/>
  <c r="K21" i="1"/>
  <c r="K72" i="1"/>
  <c r="K51" i="1"/>
  <c r="K43" i="1"/>
  <c r="K22" i="1"/>
  <c r="K35" i="1"/>
  <c r="K55" i="1"/>
  <c r="K98" i="1"/>
  <c r="K94" i="1"/>
  <c r="K79" i="1"/>
  <c r="K15" i="1"/>
  <c r="K12" i="1"/>
  <c r="K67" i="1"/>
  <c r="K3" i="1"/>
  <c r="K71" i="1"/>
  <c r="K44" i="1"/>
  <c r="K80" i="1"/>
  <c r="K5" i="1"/>
</calcChain>
</file>

<file path=xl/sharedStrings.xml><?xml version="1.0" encoding="utf-8"?>
<sst xmlns="http://schemas.openxmlformats.org/spreadsheetml/2006/main" count="849" uniqueCount="513">
  <si>
    <t>YouTube-URL</t>
  </si>
  <si>
    <t>Artist</t>
  </si>
  <si>
    <t>Title</t>
  </si>
  <si>
    <t>Description</t>
  </si>
  <si>
    <t>Requester/Dancer</t>
  </si>
  <si>
    <t>Start: Minute</t>
  </si>
  <si>
    <t>Start: Second</t>
  </si>
  <si>
    <t>End: Minute</t>
  </si>
  <si>
    <t>End: Seconds</t>
  </si>
  <si>
    <t>Start in Seconds</t>
  </si>
  <si>
    <t>End in Seconds</t>
  </si>
  <si>
    <t>Question</t>
  </si>
  <si>
    <t>Answer</t>
  </si>
  <si>
    <t>Countdown</t>
  </si>
  <si>
    <t>Run In Time</t>
  </si>
  <si>
    <t>Run Down Time</t>
  </si>
  <si>
    <t>Amount of seperate Playlists</t>
  </si>
  <si>
    <t>Own Cover</t>
  </si>
  <si>
    <t>Contact Data</t>
  </si>
  <si>
    <t>Misc</t>
  </si>
  <si>
    <t>Special Countdown</t>
  </si>
  <si>
    <t>English Explanation</t>
  </si>
  <si>
    <t>German Explanation</t>
  </si>
  <si>
    <t>Should a countdown be added between each song?
And if so, which countdown should be used?
If you want to have your own countdown, please enter the YouTube URL of the countdown at Misc.</t>
  </si>
  <si>
    <t>Soll ein Countdown zwischen jedem Song hinzugefügt werden?
Und wenn ja: Welcher Countdown soll verwendet werden?
Wenn du einen eigenen Countdown haben willst, bitte den YouTube URL des Countdowns bei Weitere... angeben.</t>
  </si>
  <si>
    <t>How many seconds should be used before the dance start as a run-in time?
Important: These seconds are then added to the given dance start.
If you have already calculated a run-in time in the Excel list, then please enter 0 seconds here.</t>
  </si>
  <si>
    <t>Wie viele Sekunden soll vor dem Tanzstart als Einlaufzeit verwendet werden?
Wichtig: Diese Sekunden werden dann an der anegebenen Tanzstart hinzugefügt.
Wenn du also schon in der Excel Liste eine Einlaufzeit mitberechnet hast, dann bitte hier 0 Sekunden angeben.</t>
  </si>
  <si>
    <t>How many seconds should be used after the end of the dance as a run-down time?
Important: These seconds are then added to the given end of the dance.
If you have already calculated a run-down time in the Excel list, then please enter 0 seconds here.</t>
  </si>
  <si>
    <t>Wie viele Sekunden soll nach dem Tanzende als Auslaufzeit verwendet werden?
Wichtig: Diese Sekunden werden dann an der anegebenen Tanzende hinzugefügt.
Wenn du also schon in der Excel Liste eine Auslaufzeit mitberechnet hast, dann bitte hier 0 Sekunden angeben.</t>
  </si>
  <si>
    <t>If you want to create multiple, seperate playlists from the list, then please enter 2 or higher.
A maximum of 5 seperate playlists are allowed.</t>
  </si>
  <si>
    <t>Wenn du aus der Liste mehrere, seperate Playlists erstellen willst, dann bitte 2 oder höher eingeben.
Erlaubt sind maximal 5 seperate Playlists.</t>
  </si>
  <si>
    <t>If you want to have your own cover for the video, you can specify the URL of the image here.
Otherwise, the default cover image will be used.</t>
  </si>
  <si>
    <t>Wenn du ein eigenes Cover für das Video haben willst, kannst du hier die URL des Bildes angeben.
Ansonsten wird das Standard Cover Bild verwendet.</t>
  </si>
  <si>
    <t>Please provide your contact details here, which I can use to communicate with you.
At least 1 detail must be present.
If I can't reach you (See step 2 from the procedure), I will classify your request as invalid and then delete it.
Allowed platforms and the required detail:
WhatsApp: phone number + Name
Instragram: Account name + Name
Discord: Discord ID (incl. #number) + Name</t>
  </si>
  <si>
    <t>Bitte hier deine Kontaktdaten angeben, womit ich mit dir kommunizieren kann.
Mindestens 1 Angabe muss vorhanden sein.
Wenn ich dich nicht erreichen kann (Siehe Schritt 2 von der Prozedur), werde ich deinen Antrag als invalide einstufen und dann löschen.
Erlaubte Plattformen und die benötigte Angabe:
WhatsApp: Telefonnummer + Name
Instragram: Accountname + Name
Discord: Discord ID (inkl. #Nummer) + Name</t>
  </si>
  <si>
    <t>Here you can enter questions, comments, wishes and the like.</t>
  </si>
  <si>
    <t>Hier kannst du Fragen, Anmerkungen, Wünsche und ähnliches angeben.</t>
  </si>
  <si>
    <t>Sollen spezielle Countdowns eingestzt werden?
Momentan wären es ein spezieller Countdown für Dancebreaks und für Team Red und Team Blue.</t>
  </si>
  <si>
    <t>Should there be special countdowns?
At the moment it would be a special countdown for Dancebreaks and for Team Red and Team Blue.</t>
  </si>
  <si>
    <t>https://youtu.be/TqXxPgWario?si=zoDk4M2ZBgrET3mR</t>
  </si>
  <si>
    <t>TWS</t>
  </si>
  <si>
    <t>Overdrive</t>
  </si>
  <si>
    <t>Chorus</t>
  </si>
  <si>
    <t>https://youtu.be/4Sf4G3tLg7A?si=QxHKM7KaE09rdk0y</t>
  </si>
  <si>
    <t>Kiiikiii</t>
  </si>
  <si>
    <t>BTG</t>
  </si>
  <si>
    <t>Pre-Chorus, Chorus</t>
  </si>
  <si>
    <t>https://youtu.be/JQm21nB4uwI?si=5dfLWKaGwllGL_hN</t>
  </si>
  <si>
    <t>SuperM</t>
  </si>
  <si>
    <t>Jopping</t>
  </si>
  <si>
    <t>https://youtu.be/_Omv-mgBfMM?si=kJ9enqhiscKclJti</t>
  </si>
  <si>
    <t>Xikers</t>
  </si>
  <si>
    <t>Superpower (Peak)</t>
  </si>
  <si>
    <t>Chorus 2, Dancebreak</t>
  </si>
  <si>
    <t>https://youtu.be/Wj9bj0Sp54w?si=kseKo53sDBIGIO7E</t>
  </si>
  <si>
    <t>LYKN</t>
  </si>
  <si>
    <t>First sight</t>
  </si>
  <si>
    <t>https://youtu.be/zI_zgxJ_6Zs?si=UPMS6eOifji0poQE</t>
  </si>
  <si>
    <t>Hoshi x Woozi</t>
  </si>
  <si>
    <t>Stupid Idiot</t>
  </si>
  <si>
    <t>https://youtu.be/FUpWmO6chIw?si=_e7R3YPyGn88lJ7W</t>
  </si>
  <si>
    <t>Babymonster</t>
  </si>
  <si>
    <t>We go up</t>
  </si>
  <si>
    <t xml:space="preserve">https://youtu.be/f1uqCXwawW4?si=sCZlu7h3hAEqoH1h
</t>
  </si>
  <si>
    <t>Hwasa</t>
  </si>
  <si>
    <t>I love my body</t>
  </si>
  <si>
    <t>https://youtu.be/imhuKJsr7vM?si=9jI37OQ3I9eOagEP</t>
  </si>
  <si>
    <t>IVE</t>
  </si>
  <si>
    <t>Accendio</t>
  </si>
  <si>
    <t>https://youtu.be/A5lKXg2vjQ4?si=LEinZXJ1_zbR9QvT</t>
  </si>
  <si>
    <t>EXO</t>
  </si>
  <si>
    <t>The Eve</t>
  </si>
  <si>
    <t>Pre-Chorus</t>
  </si>
  <si>
    <t>https://youtu.be/Pa7ez-JX4FA?si=vKkj5H8OmU_6Uq-K</t>
  </si>
  <si>
    <t>P1Harmony</t>
  </si>
  <si>
    <t>DUH!</t>
  </si>
  <si>
    <t>https://www.youtube.com/watch?v=FXvfunk7Yp0&amp;list=PLYKGW8uu0YJsdyNBsI_jSpTAfSjyljLwF&amp;index=71</t>
  </si>
  <si>
    <t>B.I</t>
  </si>
  <si>
    <t>BTBT</t>
  </si>
  <si>
    <t>Dancebreak</t>
  </si>
  <si>
    <t>https://youtu.be/O-pZ3EEeZQA?si=cx06ORoagJatcahS</t>
  </si>
  <si>
    <t>Jungkook</t>
  </si>
  <si>
    <t>Save me solo remix MMA 2019</t>
  </si>
  <si>
    <t>Intro, Pre-Chorus, Chorus, Chorus 2, Dancebreak</t>
  </si>
  <si>
    <t>https://youtu.be/-Hc5ZhHjVbU?si=LQic0PqxmaLS1Ml0</t>
  </si>
  <si>
    <t>Xlov</t>
  </si>
  <si>
    <t>Bizness</t>
  </si>
  <si>
    <t>https://youtu.be/dsdOTzjCHYI?si=1ERobfj5BqrYCc3c</t>
  </si>
  <si>
    <t>NMIXX</t>
  </si>
  <si>
    <t>O.O</t>
  </si>
  <si>
    <t>https://youtu.be/z2zoMqdrGzo?si=AOj5AbVXiSgrirgz</t>
  </si>
  <si>
    <t>AHOF</t>
  </si>
  <si>
    <t>Pinocchio</t>
  </si>
  <si>
    <t>https://youtu.be/ufwB9Uja_wM?si=B85EW5GdblCH4jLJ</t>
  </si>
  <si>
    <t>Hearts2hearts</t>
  </si>
  <si>
    <t>Pretty please</t>
  </si>
  <si>
    <t>https://youtu.be/mH2xcTgROvw?si=co5zNdgsx3IQnT-O</t>
  </si>
  <si>
    <t>BangChan (Stray Kids)</t>
  </si>
  <si>
    <t>Roman Empire</t>
  </si>
  <si>
    <t>https://youtu.be/a1myc1Ap7Q8?si=8iWOVX1V86PwIXM8</t>
  </si>
  <si>
    <t>Enhypen</t>
  </si>
  <si>
    <t>Bite Me</t>
  </si>
  <si>
    <t>https://youtu.be/oXh6zz5BA4Q?si=QcQTb0UzMvFywiby</t>
  </si>
  <si>
    <t>Riize</t>
  </si>
  <si>
    <t>Love 119</t>
  </si>
  <si>
    <t>https://youtu.be/KvQHNE4zSgg?si=X1QPpKmOWu8dl_sp</t>
  </si>
  <si>
    <t>Jisoo</t>
  </si>
  <si>
    <t>Hugs &amp; Kisses</t>
  </si>
  <si>
    <t>Tunnel Vision</t>
  </si>
  <si>
    <t>https://youtu.be/WUANu15tGlM?si=DU7BVoOpgHExOt6l</t>
  </si>
  <si>
    <t>Izna</t>
  </si>
  <si>
    <t>Mamma Mia</t>
  </si>
  <si>
    <t>https://youtu.be/PjDfQl3nBNc?si=LNbAlS0Js8kHbMJY</t>
  </si>
  <si>
    <t>Chamber 5 (Dream of Dreams)</t>
  </si>
  <si>
    <t>https://youtu.be/6ME9HU0bSqQ?si=lcHQQygrt0epbsHt</t>
  </si>
  <si>
    <t>Itzy</t>
  </si>
  <si>
    <t>Sorry not sorry</t>
  </si>
  <si>
    <t>https://youtu.be/Xn-rkKMwHGg?si=btG3cRLY-9dvDrVj</t>
  </si>
  <si>
    <t>Dancing alone</t>
  </si>
  <si>
    <t>https://youtu.be/Qjvum28dDIs?si=uBaxWkagWbJSOU7i</t>
  </si>
  <si>
    <t>XLOV</t>
  </si>
  <si>
    <t>Rizz</t>
  </si>
  <si>
    <t>https://youtu.be/zkSxBPSHrpc?si=t3xo5TzYT11_SUc_</t>
  </si>
  <si>
    <t>WONHO</t>
  </si>
  <si>
    <t>If you wanna</t>
  </si>
  <si>
    <t>https://youtu.be/7UDhRV8YHag?si=bqOaaGVMHT9NjWtp</t>
  </si>
  <si>
    <t>StayC</t>
  </si>
  <si>
    <t>Cheeky Icy thang</t>
  </si>
  <si>
    <t>https://youtu.be/7PrxONon7jg?feature=shared</t>
  </si>
  <si>
    <t>BLACKPINK</t>
  </si>
  <si>
    <t>Forever Young</t>
  </si>
  <si>
    <t>Pre-Chorus, Dancebreak</t>
  </si>
  <si>
    <t>https://youtu.be/tVv-BIpZVzE?si=ZgAOUzmC2ZJMIwfP</t>
  </si>
  <si>
    <t>BADVILLAIN</t>
  </si>
  <si>
    <t>ZOOM</t>
  </si>
  <si>
    <t>Intro, Chorus</t>
  </si>
  <si>
    <t>Fame</t>
  </si>
  <si>
    <t>https://youtu.be/a51Cne5x_RA?si=0__u9Y7xZ7dO5QWh</t>
  </si>
  <si>
    <t>See That?</t>
  </si>
  <si>
    <t>https://youtu.be/-ELDuRQTz6M?si=GokBAqxla13pA_PL</t>
  </si>
  <si>
    <t>Mark</t>
  </si>
  <si>
    <t>https://youtu.be/n1pwhKFp6WA?si=ZHbthLwyKV8UoQse</t>
  </si>
  <si>
    <t>Purple Kiss</t>
  </si>
  <si>
    <t>Sweet Juice</t>
  </si>
  <si>
    <t>https://youtu.be/zs6PsMcj-vg?si=mCeP7iJ-S1YaB0hJ</t>
  </si>
  <si>
    <t>IZNA</t>
  </si>
  <si>
    <t>IWALY</t>
  </si>
  <si>
    <t>https://www.youtube.com/watch?v=P7vBoGWoReg</t>
  </si>
  <si>
    <t>Stray kids</t>
  </si>
  <si>
    <t>Ceremony</t>
  </si>
  <si>
    <t>Chorus, Chorus 2</t>
  </si>
  <si>
    <t>https://youtu.be/IBZbeCmRf4g? si=hus0N6TRdf_6FsFL</t>
  </si>
  <si>
    <t>Where you at</t>
  </si>
  <si>
    <t>https://youtu.be/-IaZkIvTfno?si=-tlWsrFXbOTQkxL2</t>
  </si>
  <si>
    <t>Seventeen</t>
  </si>
  <si>
    <t>Darl+ing</t>
  </si>
  <si>
    <t>https://youtu.be/W-339ILZspw?si=vYskmo645QQzdjg4</t>
  </si>
  <si>
    <t>Focus</t>
  </si>
  <si>
    <t>https://youtu.be/EURY1nTRnoU?si=vZ2hcsUvfDfoT_5e</t>
  </si>
  <si>
    <t>Lucifer</t>
  </si>
  <si>
    <t>https://youtu.be/DLhLv3EtAWA?si=HEzqWt30QckUiNxP</t>
  </si>
  <si>
    <t>idntt</t>
  </si>
  <si>
    <t>You Never Met</t>
  </si>
  <si>
    <t>https://youtu.be/7oTKX4WnzTA?si=gO41p_6CLX-H9e1B</t>
  </si>
  <si>
    <t>Feel like me</t>
  </si>
  <si>
    <t>https://youtu.be/1yGBvoe8zJ8?si=MSt2RTw3oemA3nI2</t>
  </si>
  <si>
    <t>Taemin</t>
  </si>
  <si>
    <t>Guilty</t>
  </si>
  <si>
    <t>https://youtu.be/XgF-1MChLDM?si=f31HweOq-dRrL8xN</t>
  </si>
  <si>
    <t>itzy</t>
  </si>
  <si>
    <t>Untouchable</t>
  </si>
  <si>
    <t>https://youtu.be/9jSwhoA0X94?si=K6VDtN7qmEJIszzt</t>
  </si>
  <si>
    <t>Twice</t>
  </si>
  <si>
    <t>look at me</t>
  </si>
  <si>
    <t>https://youtu.be/8kV07xKAUWk?feature=shared</t>
  </si>
  <si>
    <t>Trouble Maker</t>
  </si>
  <si>
    <t>https://youtu.be/mQXv864OnXc?si=pymMgPJOGVrr4u2H</t>
  </si>
  <si>
    <t>Stray Kids</t>
  </si>
  <si>
    <t>Chorus 2</t>
  </si>
  <si>
    <t>https://youtu.be/2iUBTmyUMdA?si=BVwjdUzLaNTVxLD9</t>
  </si>
  <si>
    <t>Ex</t>
  </si>
  <si>
    <t>https://www.youtube.com/watch?v=-GcXYImOZA4&amp;list=PLYKGW8uu0YJsdyNBsI_jSpTAfSjyljLwF&amp;index=88</t>
  </si>
  <si>
    <t>NCT DREAM</t>
  </si>
  <si>
    <t>Boom</t>
  </si>
  <si>
    <t>https://youtu.be/zRZAN5Mzuro?si=N9Pj1QQJ_8I_kIP5</t>
  </si>
  <si>
    <t>https://youtu.be/Qjvum28dDIs?si=_hbe7883FajEVk0z</t>
  </si>
  <si>
    <t>Intro, Pre-Chorus, Chorus</t>
  </si>
  <si>
    <t>https://youtu.be/fU1lHHbY0fM?si=eUVq2RuU0BBNWwvV</t>
  </si>
  <si>
    <t>I‘mma Be</t>
  </si>
  <si>
    <t>https://youtu.be/S-VLzICd2FE?si=DzlksSEZnM5e79ij</t>
  </si>
  <si>
    <t>Seulgi</t>
  </si>
  <si>
    <t>Baby, not baby</t>
  </si>
  <si>
    <t>https://youtu.be/Dyp7FPz6Lc4?si=WWXC1o0Nqwprz5I0</t>
  </si>
  <si>
    <t>BASTTIE</t>
  </si>
  <si>
    <t>First Step</t>
  </si>
  <si>
    <t>https://youtu.be/4kwhRUHjWwE?si=0R7kXOzH01yZ4_DS</t>
  </si>
  <si>
    <t>After Like</t>
  </si>
  <si>
    <t>https://youtu.be/RC4b_b5DDQU?si=Xq8byrd4Nc4TY6U0</t>
  </si>
  <si>
    <t>Wooyoung</t>
  </si>
  <si>
    <t>Sagittarius</t>
  </si>
  <si>
    <t>https://youtu.be/UCOk37MhyF8?si=KToc6GcUcIIDaySS</t>
  </si>
  <si>
    <t>Psycho</t>
  </si>
  <si>
    <t>https://youtu.be/ma8FcJxhZnw?si=x_pNSya6L8VurHBF</t>
  </si>
  <si>
    <t>NewJeans</t>
  </si>
  <si>
    <t>Attention</t>
  </si>
  <si>
    <t>https://youtu.be/NFUsHZnqGQc?si=9Z4QJRU7QhDjzxPT</t>
  </si>
  <si>
    <t>Treasure</t>
  </si>
  <si>
    <t>I want your love</t>
  </si>
  <si>
    <t>https://youtu.be/4l39NrzDG54?si=Ar27ssUPOT8WoQ0g</t>
  </si>
  <si>
    <t>B.I.G</t>
  </si>
  <si>
    <t>1 2 3</t>
  </si>
  <si>
    <t>https://youtu.be/SgWOqXtNrwA?si=bDv707z82RvxwNrq</t>
  </si>
  <si>
    <t>Yeji</t>
  </si>
  <si>
    <t>Air</t>
  </si>
  <si>
    <t>https://youtu.be/M4Rw7zFd2O0?si=CqtMIClRLphwg8Lz</t>
  </si>
  <si>
    <t>ABCD</t>
  </si>
  <si>
    <t>https://youtu.be/mo6GJSms_wY?si=jQa_kGA9fvCIQ_pD</t>
  </si>
  <si>
    <t>Ive</t>
  </si>
  <si>
    <t>Baddie</t>
  </si>
  <si>
    <t>https://youtu.be/G6SDtCHi1gU?si=JsyXEQDdKmrVKrc7</t>
  </si>
  <si>
    <t>j-hope</t>
  </si>
  <si>
    <t>https://youtu.be/CoymrDbD6sg?si=0NH-88rKIEQZR3xH</t>
  </si>
  <si>
    <t>https://youtu.be/EzyIYe5w3fM?si=LWVZyFySqox14XJh</t>
  </si>
  <si>
    <t>Boynextdoor</t>
  </si>
  <si>
    <t>Hollywood Action</t>
  </si>
  <si>
    <t>https://youtu.be/FIB4lh9G9os?si=Y2OqxAsID78kQ7-2</t>
  </si>
  <si>
    <t>CHERRY BULLET</t>
  </si>
  <si>
    <t>HANDS UP</t>
  </si>
  <si>
    <t>https://youtu.be/RuCTeTMEtAk?si=QL1J4AxUk6An1bcB</t>
  </si>
  <si>
    <t>Nct wish</t>
  </si>
  <si>
    <t>poppop</t>
  </si>
  <si>
    <t>https://youtu.be/ndo6QkpcgFQ?si=8H0Oy28LWhFnPlSG</t>
  </si>
  <si>
    <t>Sign</t>
  </si>
  <si>
    <t>https://www.youtube.com/watch?v=G-fCOEZnnTs</t>
  </si>
  <si>
    <t>Katseye</t>
  </si>
  <si>
    <t>Gabriela</t>
  </si>
  <si>
    <t>Little Miss</t>
  </si>
  <si>
    <t>https://youtu.be/Krgve4GrNdM?si=7japyssGYleKMUze</t>
  </si>
  <si>
    <t>My My</t>
  </si>
  <si>
    <t>https://youtu.be/y9kWmrKNsRQ?si=NIkubp0RxBOmmLzn</t>
  </si>
  <si>
    <t>VVUP</t>
  </si>
  <si>
    <t>Supermodel</t>
  </si>
  <si>
    <t>https://youtu.be/COfF37h1dRc?si=a2tdBuyd7PfoY82d</t>
  </si>
  <si>
    <t>Yeonjun (ft. Daniela</t>
  </si>
  <si>
    <t>Let me tell you</t>
  </si>
  <si>
    <t>https://youtu.be/GOB38_2ZCx4?si=stSde8aV7UvN-fN3</t>
  </si>
  <si>
    <t>GFRIEND</t>
  </si>
  <si>
    <t>Glass Bead</t>
  </si>
  <si>
    <t>https://youtu.be/2rjTxJU9d5k?si=zyst1PxOaWhR9riP</t>
  </si>
  <si>
    <t>RIIZE</t>
  </si>
  <si>
    <t>https://youtu.be/x8PkgClZVVM?si=APFa811_DZihVN3I</t>
  </si>
  <si>
    <t>Easy</t>
  </si>
  <si>
    <t xml:space="preserve">https://youtu.be/XVPsWmVr5CU?si=XMFWktHMin8Go79e
</t>
  </si>
  <si>
    <t>idle</t>
  </si>
  <si>
    <t>good thing</t>
  </si>
  <si>
    <t>https://youtu.be/1eZRyXPwIhM?si=u80nCj-acZqQEEWq</t>
  </si>
  <si>
    <t>twice</t>
  </si>
  <si>
    <t>the feels</t>
  </si>
  <si>
    <t>https://youtu.be/bRCP3Jw6mpg?si=aJFrAQaVYSvbYD5O</t>
  </si>
  <si>
    <t>Do It</t>
  </si>
  <si>
    <t>https://youtu.be/cnLjUXEyc8E?si=uxAlaQjUQWNwq9L1</t>
  </si>
  <si>
    <t>Bts</t>
  </si>
  <si>
    <t>Boy in luv</t>
  </si>
  <si>
    <t>https://www.youtube.com/watch?v=4oILuR3izXg&amp;list=PLYKGW8uu0YJsdyNBsI_jSpTAfSjyljLwF&amp;index=145</t>
  </si>
  <si>
    <t>The8 (Seventeen)</t>
  </si>
  <si>
    <t>Orbit</t>
  </si>
  <si>
    <t>https://youtu.be/mdTdagz9fyY?si=Cfx9iLufCUqfKgOI</t>
  </si>
  <si>
    <t>But I like you</t>
  </si>
  <si>
    <t>https://youtu.be/ElO4QlLUr4c?si=riy7Uyho-yamCCuE</t>
  </si>
  <si>
    <t>Sadistic</t>
  </si>
  <si>
    <t>https://youtu.be/lmfXEu5kQ7k?si=Byh1YVUQhy-cPMNw</t>
  </si>
  <si>
    <t>Meovv</t>
  </si>
  <si>
    <t>Meow</t>
  </si>
  <si>
    <t>https://youtu.be/P_9YQaIQW_s?si=EBTZPe801aeF9rJE</t>
  </si>
  <si>
    <t>Biii:-P</t>
  </si>
  <si>
    <t>https://youtu.be/oVONik56_Q8?si=RPh4X_nOYCl557s8</t>
  </si>
  <si>
    <t>Racecar</t>
  </si>
  <si>
    <t>https://youtu.be/i6CXwJUO9lA?si=TaWKxxsOeX2upw2a</t>
  </si>
  <si>
    <t>GIRLSET</t>
  </si>
  <si>
    <t>Ateez</t>
  </si>
  <si>
    <t>Youth</t>
  </si>
  <si>
    <t>https://youtu.be/W2nwiIrektI?si=G1d6iCLf0Ccbqp7k</t>
  </si>
  <si>
    <t>Nmixx</t>
  </si>
  <si>
    <t>Blue Valentine</t>
  </si>
  <si>
    <t>https://youtu.be/Ag5Q6JtHcR8?si=YBQ5ak9mRRRuQodH</t>
  </si>
  <si>
    <t>illit</t>
  </si>
  <si>
    <t>Do the dance</t>
  </si>
  <si>
    <t>https://youtu.be/K2Q1DQQVGWk?si=7T2aOhWud61mkqnG</t>
  </si>
  <si>
    <t>JINI</t>
  </si>
  <si>
    <t>https://youtu.be/uO_GkE8Ym38?si=Ayeh9xziAEsGXyTi</t>
  </si>
  <si>
    <t>Brought The Heat Back</t>
  </si>
  <si>
    <t>https://youtu.be/bCslS5-GWzA?si=1ZGYrgwYU1mjBxyB</t>
  </si>
  <si>
    <t>Blah blah blah</t>
  </si>
  <si>
    <t>https://youtu.be/V47x8j-dvXI?si=tSJN5g97lYU_4wkF</t>
  </si>
  <si>
    <t>THE BOYZ</t>
  </si>
  <si>
    <t>No Air</t>
  </si>
  <si>
    <t>https://youtu.be/QtJWFuTpib8?si=WsDNlL3DE0V7jgTx</t>
  </si>
  <si>
    <t>Hyolyn</t>
  </si>
  <si>
    <t>Dally</t>
  </si>
  <si>
    <t>https://youtu.be/7Xoe5mr0MlU?si=5EwN7VcMcWrHpaJk</t>
  </si>
  <si>
    <t>ATEEZ</t>
  </si>
  <si>
    <t>Lemon Drop</t>
  </si>
  <si>
    <t>https://youtu.be/wuCZeGyY8Q4?si=oWxCBLzYY4cD6lYr</t>
  </si>
  <si>
    <t>Imaginary Friend</t>
  </si>
  <si>
    <t>https://youtu.be/joLR_b8ERak?si=A5pjzPfzFo4DvCOg</t>
  </si>
  <si>
    <t>Lisa</t>
  </si>
  <si>
    <t>Money</t>
  </si>
  <si>
    <t>Pre-Chorus, Chorus 2, Dancebreak</t>
  </si>
  <si>
    <t>https://youtu.be/97o43UHXwVI?si=f430apinlktxlXXf</t>
  </si>
  <si>
    <t>Nct Wish</t>
  </si>
  <si>
    <t>Color</t>
  </si>
  <si>
    <t>https://youtu.be/DqNcxkvZIAI?si=f4l3E-a3okLeyGpC</t>
  </si>
  <si>
    <t>&amp;TEAM</t>
  </si>
  <si>
    <t>Back to Life</t>
  </si>
  <si>
    <t>https://youtu.be/v5AE-SF1e0s?si=CFKVQ-M38o76_AX_</t>
  </si>
  <si>
    <t>Beep</t>
  </si>
  <si>
    <t>https://youtu.be/_Vnx6Omv3wk?si=QBpjvOBZUwp8RRTu</t>
  </si>
  <si>
    <t>https://youtu.be/jI70BF157c0?si=oNrH9DWFqBXPbUKx</t>
  </si>
  <si>
    <t>Dayoung</t>
  </si>
  <si>
    <t>Body</t>
  </si>
  <si>
    <t>https://www.youtube.com/watch?v=sL0pCS6K9bc</t>
  </si>
  <si>
    <t>Hands up</t>
  </si>
  <si>
    <t>Andy</t>
  </si>
  <si>
    <t>Dustin</t>
  </si>
  <si>
    <t>jay Sklarek</t>
  </si>
  <si>
    <t>Salina</t>
  </si>
  <si>
    <t>Deem</t>
  </si>
  <si>
    <t>Mia</t>
  </si>
  <si>
    <t>nikol</t>
  </si>
  <si>
    <t>lisa</t>
  </si>
  <si>
    <t>Mia Znidar</t>
  </si>
  <si>
    <t>Jana</t>
  </si>
  <si>
    <t>Lea</t>
  </si>
  <si>
    <t>Zombi</t>
  </si>
  <si>
    <t>Jara</t>
  </si>
  <si>
    <t>x.ame.x16</t>
  </si>
  <si>
    <t>Alessia</t>
  </si>
  <si>
    <t>Alexa</t>
  </si>
  <si>
    <t>Pia</t>
  </si>
  <si>
    <t>Alina</t>
  </si>
  <si>
    <t>Diana</t>
  </si>
  <si>
    <t>Lilith</t>
  </si>
  <si>
    <t>Oleksandra</t>
  </si>
  <si>
    <t>Hyun</t>
  </si>
  <si>
    <t>Jenny</t>
  </si>
  <si>
    <t>Eunji</t>
  </si>
  <si>
    <t>Petro</t>
  </si>
  <si>
    <t>Max</t>
  </si>
  <si>
    <t>Sofia</t>
  </si>
  <si>
    <t>Emma</t>
  </si>
  <si>
    <t>Konstantin</t>
  </si>
  <si>
    <t>Anna</t>
  </si>
  <si>
    <t>Jasmin</t>
  </si>
  <si>
    <t>Sami</t>
  </si>
  <si>
    <t>Elisa P.</t>
  </si>
  <si>
    <t>Kim</t>
  </si>
  <si>
    <t>Chiara</t>
  </si>
  <si>
    <t>Aylin</t>
  </si>
  <si>
    <t>Alissia Schmidt</t>
  </si>
  <si>
    <t>Victory</t>
  </si>
  <si>
    <t xml:space="preserve"> +82 pressin</t>
  </si>
  <si>
    <t>Shinee</t>
  </si>
  <si>
    <t>https://youtu.be/0wezH4MAncY?si=bW_9iSbqNexDJkPE</t>
  </si>
  <si>
    <t>(G)I-DLE</t>
  </si>
  <si>
    <t>TOMBOY</t>
  </si>
  <si>
    <t>Basic</t>
  </si>
  <si>
    <t>https://youtu.be/5r_J2SqWn1s?si=aDtX1GZOZBaruq7u</t>
  </si>
  <si>
    <t>aespa</t>
  </si>
  <si>
    <t>Armageddon</t>
  </si>
  <si>
    <t>https://youtu.be/XYa2ZVHqeQo?si=XofZ_P6h9l2OEG1p</t>
  </si>
  <si>
    <t>Rich Man</t>
  </si>
  <si>
    <t>https://youtu.be/pShwcQAk7Js?si=7pNR0mm0YxtPnHhm</t>
  </si>
  <si>
    <t>ALLDAY PROJECT</t>
  </si>
  <si>
    <t>FAMOUS</t>
  </si>
  <si>
    <t>https://youtu.be/i_oeyE-IdB8?si=XZBFyiyM4MTK2GIV</t>
  </si>
  <si>
    <t>Ice On My Teeth</t>
  </si>
  <si>
    <t>WORK</t>
  </si>
  <si>
    <t>https://youtu.be/cXvi0qdC6FU?si=qKUkleFj1wOtHfw8</t>
  </si>
  <si>
    <t>BABYMONSTER</t>
  </si>
  <si>
    <t>DRIP</t>
  </si>
  <si>
    <t>https://youtu.be/UwbGi2nGFQg?si=HOLzRQPlvrkqN3ey</t>
  </si>
  <si>
    <t>BIGBANG</t>
  </si>
  <si>
    <t>BANG BANG BANG</t>
  </si>
  <si>
    <t>https://youtu.be/VdIVka8TjT0?si=bihqjzL3jl9SZV3P</t>
  </si>
  <si>
    <t>Fantastic Baby</t>
  </si>
  <si>
    <t>https://youtu.be/Cix9CdpYS6s?si=gz8rFsb5Eq6setst</t>
  </si>
  <si>
    <t>Shut Down</t>
  </si>
  <si>
    <t>https://youtu.be/3tiLDChrokA?si=5YWhTYQ5hlOON7VV</t>
  </si>
  <si>
    <t>JUMP</t>
  </si>
  <si>
    <t>https://youtu.be/GX3JImi6KUI?si=DNT19CGAssrevpjP</t>
  </si>
  <si>
    <t>BOYNEXTDOOR</t>
  </si>
  <si>
    <t>I Feel Good</t>
  </si>
  <si>
    <t>https://youtu.be/b23_UkBrrQk?si=2zRPgkfGg_m3_zEz</t>
  </si>
  <si>
    <t>BTS</t>
  </si>
  <si>
    <t>Blood Sweat &amp; Tears</t>
  </si>
  <si>
    <t>https://youtu.be/_36O75VSuLY?si=2cHitZJBEJv0bAvH</t>
  </si>
  <si>
    <t>Black Swan</t>
  </si>
  <si>
    <t>https://youtu.be/smdYRCo5v8U?si=GQFKw-rcHJw7MSw3</t>
  </si>
  <si>
    <t>CORTIS</t>
  </si>
  <si>
    <t>GO!</t>
  </si>
  <si>
    <t>https://youtu.be/Ft0SsoG8GIw?si=po9ASe-7mkadMUdp</t>
  </si>
  <si>
    <t>FaSHioN</t>
  </si>
  <si>
    <t>https://youtu.be/kVzSFfvITSI?si=oMRllCR64bnpf2v3</t>
  </si>
  <si>
    <t xml:space="preserve">ENHYPEN </t>
  </si>
  <si>
    <t>Bad Desire (With or Without You)</t>
  </si>
  <si>
    <t>https://youtu.be/uO_GkE8Ym38?si=bfwCYk52q23SKQYE</t>
  </si>
  <si>
    <t>https://youtu.be/BWKbQX09rFU?si=rvM6W-pM4VQeFbFo</t>
  </si>
  <si>
    <t>EVERGLOW</t>
  </si>
  <si>
    <t>Bon Bon Chocolat</t>
  </si>
  <si>
    <t>https://youtu.be/d7XTRW_PeWw?si=652lyCk5spia5Fud</t>
  </si>
  <si>
    <t>LOVE SHOT</t>
  </si>
  <si>
    <t>https://youtu.be/rG87xBwWuNo?si=UR-xeKhexOQMvhHD</t>
  </si>
  <si>
    <t>Hearts2Hearts</t>
  </si>
  <si>
    <t>The Chase</t>
  </si>
  <si>
    <t>https://youtu.be/Vvqg4-D_flE?si=2znggt0rflw2do4i</t>
  </si>
  <si>
    <t>ifeye</t>
  </si>
  <si>
    <t>r u ok?</t>
  </si>
  <si>
    <t>https://youtu.be/zMkQ1ZnrfeI?si=iHpiyedVbY3onpot</t>
  </si>
  <si>
    <t>ILLIT</t>
  </si>
  <si>
    <t>jellyous</t>
  </si>
  <si>
    <t>https://youtu.be/Ag5Q6JtHcR8?si=0MPcFSrLCWKDiTR3</t>
  </si>
  <si>
    <t>Billyeoon Goyangi (Do the Dance)</t>
  </si>
  <si>
    <t>https://youtu.be/UYyfTEPwYlg?si=RgiA4kjM4D4PGnBz</t>
  </si>
  <si>
    <t>ITZY</t>
  </si>
  <si>
    <t>CHESHIRE</t>
  </si>
  <si>
    <t>https://youtu.be/imhuKJsr7vM?si=_wpWDg2ea8KJH80D</t>
  </si>
  <si>
    <t>https://youtu.be/CrMWH8z9RpA?si=iK6jQ_3XQOgCwV0i</t>
  </si>
  <si>
    <t>XOXZ</t>
  </si>
  <si>
    <t>https://youtu.be/YOsx4h_tPDc?si=6IXEggmKpkoLl3DJ</t>
  </si>
  <si>
    <t>izna</t>
  </si>
  <si>
    <t>https://youtu.be/5f6ZaDLE0Bc?si=D4tAT3gGhak_QF9C</t>
  </si>
  <si>
    <t>KARD</t>
  </si>
  <si>
    <t>ICKY</t>
  </si>
  <si>
    <t>https://youtu.be/GYyzaa9_ERg?si=pVA51fibv45ekLjd</t>
  </si>
  <si>
    <t>KATSEYE</t>
  </si>
  <si>
    <t>https://youtu.be/_V17ZR_fzhU?si=9X3i4-1al6KHrUUN</t>
  </si>
  <si>
    <t>Gnarly</t>
  </si>
  <si>
    <t>https://youtu.be/D0nycoXQ9ws?si=hXkO6AJUAJLCM9_I</t>
  </si>
  <si>
    <t>Kep1er</t>
  </si>
  <si>
    <t>Shooting Star</t>
  </si>
  <si>
    <t>https://youtu.be/GtWWH_6YV6Y?si=mYUcJ3bn9Npnm3eK</t>
  </si>
  <si>
    <t>KISS OF LIFE</t>
  </si>
  <si>
    <t>Midas Touch</t>
  </si>
  <si>
    <t>https://youtu.be/AIDKbriJcq0?si=UMBtAQkru7t6esE0</t>
  </si>
  <si>
    <t>LE SSERAFIM</t>
  </si>
  <si>
    <t>Eve, Psyche &amp; The Bluebeard's Wife</t>
  </si>
  <si>
    <t>https://youtu.be/ZNEuWldWPD4?si=EtLSTu9EYOxwO3v5</t>
  </si>
  <si>
    <t>ANTIFRAGILE</t>
  </si>
  <si>
    <t>https://youtu.be/JWAaDM3g-vA?si=L2jc-D4CFUxa0Eba</t>
  </si>
  <si>
    <t>MAMAMOO</t>
  </si>
  <si>
    <t>HIP</t>
  </si>
  <si>
    <t>https://youtu.be/lmfXEu5kQ7k?si=20ClatgLpAGVLTJV</t>
  </si>
  <si>
    <t>MEOVV</t>
  </si>
  <si>
    <t>MEOW</t>
  </si>
  <si>
    <t>https://youtu.be/YJpTUGzyjrA?si=38dDEbPiYwPiYHm4</t>
  </si>
  <si>
    <t>Hands Up</t>
  </si>
  <si>
    <t>https://youtu.be/ENMyx_9nLBw?si=qdjI4_KYBNbwtjOi</t>
  </si>
  <si>
    <t>NCT X aespa</t>
  </si>
  <si>
    <t>ZOO</t>
  </si>
  <si>
    <t>https://youtu.be/SOKliuZfuFQ?si=iXUpDEqdqKQYDGZh</t>
  </si>
  <si>
    <t>NCT 127</t>
  </si>
  <si>
    <t>WALK</t>
  </si>
  <si>
    <t>https://youtu.be/1c-MT3g3SGM?si=5nYt-A1F8b9QbNvB</t>
  </si>
  <si>
    <t>Fact Check</t>
  </si>
  <si>
    <t>https://youtu.be/f1X-SDfLT0I?si=SvEGB8ZpNgM1Jhes</t>
  </si>
  <si>
    <t>Smoothie</t>
  </si>
  <si>
    <t>https://youtu.be/ma8FcJxhZnw?si=TfEQbrp05JZXWJpf</t>
  </si>
  <si>
    <t xml:space="preserve">Chorus </t>
  </si>
  <si>
    <t>https://youtu.be/Pa7ez-JX4FA?si=3xt6EP0NF9AuUBYV</t>
  </si>
  <si>
    <t>https://youtu.be/TInK-bjS5rM?si=wH56yewN5GSCXiT7</t>
  </si>
  <si>
    <t>SAD SONG</t>
  </si>
  <si>
    <t>https://youtu.be/Qjvum28dDIs?si=IgHgaV_uu-R7NcYC</t>
  </si>
  <si>
    <t>https://youtu.be/uliS0fnikSg?si=UiwglUb8MDcAFQQZ</t>
  </si>
  <si>
    <t>Boom Boom Bass</t>
  </si>
  <si>
    <t>https://youtu.be/d16W-BCML-s?si=00vpiMItVzMvO7df</t>
  </si>
  <si>
    <t>SEVENTEEN</t>
  </si>
  <si>
    <t>THUNDER</t>
  </si>
  <si>
    <t>https://youtu.be/ehqVxQ7wzbY?si=aDdJfkmv_PM0s6Ss</t>
  </si>
  <si>
    <t>SHINee</t>
  </si>
  <si>
    <t>Sherlock (Clue + Note)</t>
  </si>
  <si>
    <t>https://youtu.be/kuW6tfhgaRc?si=GOn_LcJgwPhg_ZBo</t>
  </si>
  <si>
    <t>Ring Ding Dong</t>
  </si>
  <si>
    <t>https://youtu.be/KKo91gga3GI?si=wh2eI33jWmozKL7U</t>
  </si>
  <si>
    <t>CEREMONY</t>
  </si>
  <si>
    <t>https://youtu.be/IYQ8rJzRRLU?si=_ChCv9LEV3URUAFM</t>
  </si>
  <si>
    <t>Thunderous</t>
  </si>
  <si>
    <t>https://youtu.be/PSt3hy70Dsk?si=ZZFa3IC1oijgsWgV</t>
  </si>
  <si>
    <t>TAEMIN</t>
  </si>
  <si>
    <t>MOVE</t>
  </si>
  <si>
    <t>https://youtu.be/xCWDoqQ0XDo?si=fEML9K1RNhJ9oe7L</t>
  </si>
  <si>
    <t>TWICE</t>
  </si>
  <si>
    <t>THIS IS FOR</t>
  </si>
  <si>
    <t>https://youtu.be/LG1TkVgBF4Q?si=TVPiM6mA55quM7W0</t>
  </si>
  <si>
    <t>Strategy</t>
  </si>
  <si>
    <t>https://youtu.be/6U8PrILlYXs?si=upDA5jTxoRt2BLxK</t>
  </si>
  <si>
    <t>TXT</t>
  </si>
  <si>
    <t>Happily Ever After</t>
  </si>
  <si>
    <t>https://youtu.be/3Rm-_pp3Tjw?si=p3Oviefv9V-LgekV</t>
  </si>
  <si>
    <t>Love Language</t>
  </si>
  <si>
    <t>https://youtu.be/EiAELzg7btM?si=ll4GlRZsvuBKyHkI</t>
  </si>
  <si>
    <t>VIVIZ</t>
  </si>
  <si>
    <t>Shhh!</t>
  </si>
  <si>
    <t>https://youtu.be/PapPZMd29Z8?si=mSwNwMq5DvbQgkdJ</t>
  </si>
  <si>
    <t>Spaghetti</t>
  </si>
  <si>
    <t>https://youtu.be/ekawjTmlsY0?si=EZFdkOnfDHJbq8oI</t>
  </si>
  <si>
    <t>1&amp;Only</t>
  </si>
  <si>
    <t>Allday Project</t>
  </si>
  <si>
    <t>Jasp.er</t>
  </si>
  <si>
    <t>Killin It Girl</t>
  </si>
  <si>
    <t>Cmon</t>
  </si>
  <si>
    <t>Nayeon</t>
  </si>
  <si>
    <t>Wow</t>
  </si>
  <si>
    <t>https://youtu.be/rBK4nA5eAGg?si=9i5jq1Hm51P3DWR0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</si>
</sst>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rgb="FF434343"/>
      <name val="Roboto"/>
    </font>
    <font>
      <u/>
      <sz val="11"/>
      <color theme="10"/>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8F9FA"/>
        <bgColor indexed="64"/>
      </patternFill>
    </fill>
  </fills>
  <borders count="10">
    <border>
      <left/>
      <right/>
      <top/>
      <bottom/>
      <diagonal/>
    </border>
    <border>
      <left style="medium">
        <color rgb="FFFFFFFF"/>
      </left>
      <right style="medium">
        <color rgb="FFFFFFFF"/>
      </right>
      <top style="medium">
        <color rgb="FF442F65"/>
      </top>
      <bottom style="medium">
        <color rgb="FFF8F9FA"/>
      </bottom>
      <diagonal/>
    </border>
    <border>
      <left style="medium">
        <color rgb="FFCCCCCC"/>
      </left>
      <right style="medium">
        <color rgb="FFFFFFFF"/>
      </right>
      <top style="medium">
        <color rgb="FF442F65"/>
      </top>
      <bottom style="medium">
        <color rgb="FFF8F9FA"/>
      </bottom>
      <diagonal/>
    </border>
    <border>
      <left style="medium">
        <color rgb="FFF8F9FA"/>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FFFFFF"/>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FFFFFF"/>
      </left>
      <right style="medium">
        <color rgb="FFFFFFFF"/>
      </right>
      <top style="medium">
        <color rgb="FFCCCCCC"/>
      </top>
      <bottom style="medium">
        <color rgb="FF442F65"/>
      </bottom>
      <diagonal/>
    </border>
    <border>
      <left style="medium">
        <color rgb="FFFFFFFF"/>
      </left>
      <right style="medium">
        <color rgb="FFFFFFFF"/>
      </right>
      <top style="medium">
        <color rgb="FFCCCCCC"/>
      </top>
      <bottom/>
      <diagonal/>
    </border>
    <border>
      <left style="medium">
        <color rgb="FFCCCCCC"/>
      </left>
      <right style="medium">
        <color rgb="FFFFFFFF"/>
      </right>
      <top style="medium">
        <color rgb="FFCCCCCC"/>
      </top>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0" fillId="0" borderId="0" xfId="0" applyAlignment="1">
      <alignment wrapText="1"/>
    </xf>
    <xf numFmtId="0" fontId="2" fillId="2" borderId="1" xfId="1" applyFill="1" applyBorder="1" applyAlignment="1">
      <alignment vertical="center" wrapText="1"/>
    </xf>
    <xf numFmtId="0" fontId="1" fillId="2" borderId="2" xfId="0" applyFont="1" applyFill="1" applyBorder="1" applyAlignment="1">
      <alignment vertical="center" wrapText="1"/>
    </xf>
    <xf numFmtId="0" fontId="2" fillId="3" borderId="3" xfId="1" applyFill="1" applyBorder="1" applyAlignment="1">
      <alignment vertical="center" wrapText="1"/>
    </xf>
    <xf numFmtId="0" fontId="1" fillId="3" borderId="4" xfId="0" applyFont="1" applyFill="1" applyBorder="1" applyAlignment="1">
      <alignment vertical="center" wrapText="1"/>
    </xf>
    <xf numFmtId="0" fontId="2" fillId="2" borderId="5" xfId="1" applyFill="1" applyBorder="1" applyAlignment="1">
      <alignment vertical="center" wrapText="1"/>
    </xf>
    <xf numFmtId="0" fontId="1" fillId="2" borderId="6" xfId="0" applyFont="1" applyFill="1" applyBorder="1" applyAlignment="1">
      <alignment vertical="center" wrapText="1"/>
    </xf>
    <xf numFmtId="0" fontId="1" fillId="2" borderId="7" xfId="0" applyFont="1" applyFill="1" applyBorder="1" applyAlignment="1">
      <alignment vertical="center" wrapText="1"/>
    </xf>
    <xf numFmtId="0" fontId="1" fillId="2" borderId="9" xfId="0" applyFont="1" applyFill="1" applyBorder="1" applyAlignment="1">
      <alignment vertical="center" wrapText="1"/>
    </xf>
    <xf numFmtId="0" fontId="2" fillId="2" borderId="8" xfId="1" applyFill="1" applyBorder="1" applyAlignment="1">
      <alignment vertical="center" wrapText="1"/>
    </xf>
    <xf numFmtId="0" fontId="1" fillId="2" borderId="1" xfId="0" applyFont="1" applyFill="1" applyBorder="1" applyAlignment="1">
      <alignment vertical="center" wrapText="1"/>
    </xf>
    <xf numFmtId="0" fontId="1" fillId="3" borderId="3" xfId="0" applyFont="1" applyFill="1" applyBorder="1" applyAlignment="1">
      <alignment vertical="center" wrapText="1"/>
    </xf>
    <xf numFmtId="0" fontId="1" fillId="2" borderId="5" xfId="0" applyFont="1" applyFill="1" applyBorder="1" applyAlignment="1">
      <alignment vertical="center" wrapText="1"/>
    </xf>
    <xf numFmtId="0" fontId="2" fillId="3" borderId="1" xfId="1" applyFill="1" applyBorder="1" applyAlignment="1">
      <alignment vertical="center" wrapText="1"/>
    </xf>
    <xf numFmtId="0" fontId="2" fillId="2" borderId="3" xfId="1" applyFill="1" applyBorder="1" applyAlignment="1">
      <alignment vertical="center" wrapText="1"/>
    </xf>
    <xf numFmtId="0" fontId="2" fillId="3" borderId="5" xfId="1" applyFill="1" applyBorder="1" applyAlignment="1">
      <alignment vertical="center" wrapText="1"/>
    </xf>
    <xf numFmtId="0" fontId="1" fillId="2" borderId="3" xfId="0" applyFont="1" applyFill="1" applyBorder="1" applyAlignment="1">
      <alignment vertical="center" wrapText="1"/>
    </xf>
    <xf numFmtId="0" fontId="1" fillId="3" borderId="2" xfId="0" applyFont="1" applyFill="1" applyBorder="1" applyAlignment="1">
      <alignment vertical="center" wrapText="1"/>
    </xf>
    <xf numFmtId="0" fontId="1" fillId="2" borderId="4" xfId="0" applyFont="1" applyFill="1" applyBorder="1" applyAlignment="1">
      <alignment vertical="center" wrapText="1"/>
    </xf>
    <xf numFmtId="0" fontId="1" fillId="3" borderId="6" xfId="0" applyFont="1" applyFill="1" applyBorder="1" applyAlignment="1">
      <alignment vertical="center" wrapText="1"/>
    </xf>
    <xf numFmtId="0" fontId="1" fillId="3" borderId="1" xfId="0" applyFont="1" applyFill="1" applyBorder="1" applyAlignment="1">
      <alignment vertical="center" wrapText="1"/>
    </xf>
    <xf numFmtId="0" fontId="1" fillId="3" borderId="5" xfId="0" applyFont="1" applyFill="1" applyBorder="1" applyAlignment="1">
      <alignment vertical="center" wrapText="1"/>
    </xf>
  </cellXfs>
  <cellStyles count="2">
    <cellStyle name="Hyperlink" xfId="1" builtinId="8"/>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9DF394-F38E-42F5-9D65-F3B6CA6F81A1}" name="Table1" displayName="Table1" ref="A1:K163" totalsRowShown="0">
  <autoFilter ref="A1:K163" xr:uid="{7E9DF394-F38E-42F5-9D65-F3B6CA6F81A1}"/>
  <sortState xmlns:xlrd2="http://schemas.microsoft.com/office/spreadsheetml/2017/richdata2" ref="A2:K103">
    <sortCondition ref="B1:B103"/>
  </sortState>
  <tableColumns count="11">
    <tableColumn id="1" xr3:uid="{38D312AA-BE9C-4788-A1F4-D87247F17353}" name="YouTube-URL"/>
    <tableColumn id="2" xr3:uid="{0D789354-3E81-4A8A-A9B7-ED29E62741CD}" name="Artist"/>
    <tableColumn id="3" xr3:uid="{63BD8FF7-D9E4-4F56-A898-C1BA130B84D7}" name="Title"/>
    <tableColumn id="4" xr3:uid="{2A52E048-F3A1-49AC-8204-3A5423D71A03}" name="Description"/>
    <tableColumn id="11" xr3:uid="{BCA49706-478A-42FE-8E0C-586922E5D433}" name="Requester/Dancer"/>
    <tableColumn id="5" xr3:uid="{35BD2714-1796-40DB-8877-5475B850B5AE}" name="Start: Minute"/>
    <tableColumn id="6" xr3:uid="{AC17AB3F-82A5-4AA0-A644-C330DB47F9E0}" name="Start: Second"/>
    <tableColumn id="8" xr3:uid="{9576EF2E-BBA7-4A3B-8CB2-3A19880745A7}" name="End: Minute"/>
    <tableColumn id="9" xr3:uid="{A528A444-8691-45CF-9C75-5E80A36967D3}" name="End: Seconds"/>
    <tableColumn id="12" xr3:uid="{3749821D-A102-4BD5-8945-D7D9F5B7D32A}" name="Start in Seconds" dataDxfId="0">
      <calculatedColumnFormula>Table1[[#This Row],[Start: Minute]]*60+Table1[[#This Row],[Start: Second]]</calculatedColumnFormula>
    </tableColumn>
    <tableColumn id="10" xr3:uid="{B2B78805-517A-458E-9E2E-7DC2EE24E374}" name="End in Seconds">
      <calculatedColumnFormula>H2*60+I2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6" Type="http://schemas.openxmlformats.org/officeDocument/2006/relationships/hyperlink" Target="https://youtu.be/Qjvum28dDIs?si=uBaxWkagWbJSOU7i" TargetMode="External"/><Relationship Id="rId21" Type="http://schemas.openxmlformats.org/officeDocument/2006/relationships/hyperlink" Target="https://youtu.be/KvQHNE4zSgg?si=X1QPpKmOWu8dl_sp" TargetMode="External"/><Relationship Id="rId42" Type="http://schemas.openxmlformats.org/officeDocument/2006/relationships/hyperlink" Target="https://youtu.be/XgF-1MChLDM?si=f31HweOq-dRrL8xN" TargetMode="External"/><Relationship Id="rId47" Type="http://schemas.openxmlformats.org/officeDocument/2006/relationships/hyperlink" Target="https://www.youtube.com/watch?v=-GcXYImOZA4&amp;list=PLYKGW8uu0YJsdyNBsI_jSpTAfSjyljLwF&amp;index=88" TargetMode="External"/><Relationship Id="rId63" Type="http://schemas.openxmlformats.org/officeDocument/2006/relationships/hyperlink" Target="https://youtu.be/CoymrDbD6sg?si=0NH-88rKIEQZR3xH" TargetMode="External"/><Relationship Id="rId68" Type="http://schemas.openxmlformats.org/officeDocument/2006/relationships/hyperlink" Target="https://www.youtube.com/watch?v=G-fCOEZnnTs" TargetMode="External"/><Relationship Id="rId84" Type="http://schemas.openxmlformats.org/officeDocument/2006/relationships/hyperlink" Target="https://youtu.be/oVONik56_Q8?si=RPh4X_nOYCl557s8" TargetMode="External"/><Relationship Id="rId89" Type="http://schemas.openxmlformats.org/officeDocument/2006/relationships/hyperlink" Target="https://youtu.be/uO_GkE8Ym38?si=Ayeh9xziAEsGXyTi" TargetMode="External"/><Relationship Id="rId16" Type="http://schemas.openxmlformats.org/officeDocument/2006/relationships/hyperlink" Target="https://youtu.be/z2zoMqdrGzo?si=AOj5AbVXiSgrirgz" TargetMode="External"/><Relationship Id="rId11" Type="http://schemas.openxmlformats.org/officeDocument/2006/relationships/hyperlink" Target="https://youtu.be/Pa7ez-JX4FA?si=vKkj5H8OmU_6Uq-K" TargetMode="External"/><Relationship Id="rId32" Type="http://schemas.openxmlformats.org/officeDocument/2006/relationships/hyperlink" Target="https://youtu.be/-ELDuRQTz6M?si=GokBAqxla13pA_PL" TargetMode="External"/><Relationship Id="rId37" Type="http://schemas.openxmlformats.org/officeDocument/2006/relationships/hyperlink" Target="https://youtu.be/W-339ILZspw?si=vYskmo645QQzdjg4" TargetMode="External"/><Relationship Id="rId53" Type="http://schemas.openxmlformats.org/officeDocument/2006/relationships/hyperlink" Target="https://youtu.be/4kwhRUHjWwE?si=0R7kXOzH01yZ4_DS" TargetMode="External"/><Relationship Id="rId58" Type="http://schemas.openxmlformats.org/officeDocument/2006/relationships/hyperlink" Target="https://youtu.be/4l39NrzDG54?si=Ar27ssUPOT8WoQ0g" TargetMode="External"/><Relationship Id="rId74" Type="http://schemas.openxmlformats.org/officeDocument/2006/relationships/hyperlink" Target="https://youtu.be/x8PkgClZVVM?si=APFa811_DZihVN3I" TargetMode="External"/><Relationship Id="rId79" Type="http://schemas.openxmlformats.org/officeDocument/2006/relationships/hyperlink" Target="https://www.youtube.com/watch?v=4oILuR3izXg&amp;list=PLYKGW8uu0YJsdyNBsI_jSpTAfSjyljLwF&amp;index=145" TargetMode="External"/><Relationship Id="rId102" Type="http://schemas.openxmlformats.org/officeDocument/2006/relationships/table" Target="../tables/table1.xml"/><Relationship Id="rId5" Type="http://schemas.openxmlformats.org/officeDocument/2006/relationships/hyperlink" Target="https://youtu.be/Wj9bj0Sp54w?si=kseKo53sDBIGIO7E" TargetMode="External"/><Relationship Id="rId90" Type="http://schemas.openxmlformats.org/officeDocument/2006/relationships/hyperlink" Target="https://youtu.be/bCslS5-GWzA?si=1ZGYrgwYU1mjBxyB" TargetMode="External"/><Relationship Id="rId95" Type="http://schemas.openxmlformats.org/officeDocument/2006/relationships/hyperlink" Target="https://youtu.be/joLR_b8ERak?si=A5pjzPfzFo4DvCOg" TargetMode="External"/><Relationship Id="rId22" Type="http://schemas.openxmlformats.org/officeDocument/2006/relationships/hyperlink" Target="https://youtu.be/WUANu15tGlM?si=DU7BVoOpgHExOt6l" TargetMode="External"/><Relationship Id="rId27" Type="http://schemas.openxmlformats.org/officeDocument/2006/relationships/hyperlink" Target="https://youtu.be/zkSxBPSHrpc?si=t3xo5TzYT11_SUc_" TargetMode="External"/><Relationship Id="rId43" Type="http://schemas.openxmlformats.org/officeDocument/2006/relationships/hyperlink" Target="https://youtu.be/9jSwhoA0X94?si=K6VDtN7qmEJIszzt" TargetMode="External"/><Relationship Id="rId48" Type="http://schemas.openxmlformats.org/officeDocument/2006/relationships/hyperlink" Target="https://youtu.be/zRZAN5Mzuro?si=N9Pj1QQJ_8I_kIP5" TargetMode="External"/><Relationship Id="rId64" Type="http://schemas.openxmlformats.org/officeDocument/2006/relationships/hyperlink" Target="https://youtu.be/EzyIYe5w3fM?si=LWVZyFySqox14XJh" TargetMode="External"/><Relationship Id="rId69" Type="http://schemas.openxmlformats.org/officeDocument/2006/relationships/hyperlink" Target="https://youtu.be/Krgve4GrNdM?si=7japyssGYleKMUze" TargetMode="External"/><Relationship Id="rId80" Type="http://schemas.openxmlformats.org/officeDocument/2006/relationships/hyperlink" Target="https://youtu.be/mdTdagz9fyY?si=Cfx9iLufCUqfKgOI" TargetMode="External"/><Relationship Id="rId85" Type="http://schemas.openxmlformats.org/officeDocument/2006/relationships/hyperlink" Target="https://youtu.be/i6CXwJUO9lA?si=TaWKxxsOeX2upw2a" TargetMode="External"/><Relationship Id="rId12" Type="http://schemas.openxmlformats.org/officeDocument/2006/relationships/hyperlink" Target="https://www.youtube.com/watch?v=FXvfunk7Yp0&amp;list=PLYKGW8uu0YJsdyNBsI_jSpTAfSjyljLwF&amp;index=71" TargetMode="External"/><Relationship Id="rId17" Type="http://schemas.openxmlformats.org/officeDocument/2006/relationships/hyperlink" Target="https://youtu.be/ufwB9Uja_wM?si=B85EW5GdblCH4jLJ" TargetMode="External"/><Relationship Id="rId25" Type="http://schemas.openxmlformats.org/officeDocument/2006/relationships/hyperlink" Target="https://youtu.be/Xn-rkKMwHGg?si=btG3cRLY-9dvDrVj" TargetMode="External"/><Relationship Id="rId33" Type="http://schemas.openxmlformats.org/officeDocument/2006/relationships/hyperlink" Target="https://youtu.be/n1pwhKFp6WA?si=ZHbthLwyKV8UoQse" TargetMode="External"/><Relationship Id="rId38" Type="http://schemas.openxmlformats.org/officeDocument/2006/relationships/hyperlink" Target="https://youtu.be/EURY1nTRnoU?si=vZ2hcsUvfDfoT_5e" TargetMode="External"/><Relationship Id="rId46" Type="http://schemas.openxmlformats.org/officeDocument/2006/relationships/hyperlink" Target="https://youtu.be/2iUBTmyUMdA?si=BVwjdUzLaNTVxLD9" TargetMode="External"/><Relationship Id="rId59" Type="http://schemas.openxmlformats.org/officeDocument/2006/relationships/hyperlink" Target="https://youtu.be/SgWOqXtNrwA?si=bDv707z82RvxwNrq" TargetMode="External"/><Relationship Id="rId67" Type="http://schemas.openxmlformats.org/officeDocument/2006/relationships/hyperlink" Target="https://youtu.be/ndo6QkpcgFQ?si=8H0Oy28LWhFnPlSG" TargetMode="External"/><Relationship Id="rId20" Type="http://schemas.openxmlformats.org/officeDocument/2006/relationships/hyperlink" Target="https://youtu.be/oXh6zz5BA4Q?si=QcQTb0UzMvFywiby" TargetMode="External"/><Relationship Id="rId41" Type="http://schemas.openxmlformats.org/officeDocument/2006/relationships/hyperlink" Target="https://youtu.be/1yGBvoe8zJ8?si=MSt2RTw3oemA3nI2" TargetMode="External"/><Relationship Id="rId54" Type="http://schemas.openxmlformats.org/officeDocument/2006/relationships/hyperlink" Target="https://youtu.be/RC4b_b5DDQU?si=Xq8byrd4Nc4TY6U0" TargetMode="External"/><Relationship Id="rId62" Type="http://schemas.openxmlformats.org/officeDocument/2006/relationships/hyperlink" Target="https://youtu.be/G6SDtCHi1gU?si=JsyXEQDdKmrVKrc7" TargetMode="External"/><Relationship Id="rId70" Type="http://schemas.openxmlformats.org/officeDocument/2006/relationships/hyperlink" Target="https://youtu.be/y9kWmrKNsRQ?si=NIkubp0RxBOmmLzn" TargetMode="External"/><Relationship Id="rId75" Type="http://schemas.openxmlformats.org/officeDocument/2006/relationships/hyperlink" Target="https://youtu.be/XVPsWmVr5CU?si=XMFWktHMin8Go79e" TargetMode="External"/><Relationship Id="rId83" Type="http://schemas.openxmlformats.org/officeDocument/2006/relationships/hyperlink" Target="https://youtu.be/P_9YQaIQW_s?si=EBTZPe801aeF9rJE" TargetMode="External"/><Relationship Id="rId88" Type="http://schemas.openxmlformats.org/officeDocument/2006/relationships/hyperlink" Target="https://youtu.be/K2Q1DQQVGWk?si=7T2aOhWud61mkqnG" TargetMode="External"/><Relationship Id="rId91" Type="http://schemas.openxmlformats.org/officeDocument/2006/relationships/hyperlink" Target="https://youtu.be/V47x8j-dvXI?si=tSJN5g97lYU_4wkF" TargetMode="External"/><Relationship Id="rId96" Type="http://schemas.openxmlformats.org/officeDocument/2006/relationships/hyperlink" Target="https://youtu.be/97o43UHXwVI?si=f430apinlktxlXXf" TargetMode="External"/><Relationship Id="rId1" Type="http://schemas.openxmlformats.org/officeDocument/2006/relationships/hyperlink" Target="https://youtu.be/TqXxPgWario?si=zoDk4M2ZBgrET3mR" TargetMode="External"/><Relationship Id="rId6" Type="http://schemas.openxmlformats.org/officeDocument/2006/relationships/hyperlink" Target="https://youtu.be/zI_zgxJ_6Zs?si=UPMS6eOifji0poQE" TargetMode="External"/><Relationship Id="rId15" Type="http://schemas.openxmlformats.org/officeDocument/2006/relationships/hyperlink" Target="https://youtu.be/dsdOTzjCHYI?si=1ERobfj5BqrYCc3c" TargetMode="External"/><Relationship Id="rId23" Type="http://schemas.openxmlformats.org/officeDocument/2006/relationships/hyperlink" Target="https://youtu.be/PjDfQl3nBNc?si=LNbAlS0Js8kHbMJY" TargetMode="External"/><Relationship Id="rId28" Type="http://schemas.openxmlformats.org/officeDocument/2006/relationships/hyperlink" Target="https://youtu.be/7UDhRV8YHag?si=bqOaaGVMHT9NjWtp" TargetMode="External"/><Relationship Id="rId36" Type="http://schemas.openxmlformats.org/officeDocument/2006/relationships/hyperlink" Target="https://youtu.be/-IaZkIvTfno?si=-tlWsrFXbOTQkxL2" TargetMode="External"/><Relationship Id="rId49" Type="http://schemas.openxmlformats.org/officeDocument/2006/relationships/hyperlink" Target="https://youtu.be/Qjvum28dDIs?si=_hbe7883FajEVk0z" TargetMode="External"/><Relationship Id="rId57" Type="http://schemas.openxmlformats.org/officeDocument/2006/relationships/hyperlink" Target="https://youtu.be/NFUsHZnqGQc?si=9Z4QJRU7QhDjzxPT" TargetMode="External"/><Relationship Id="rId10" Type="http://schemas.openxmlformats.org/officeDocument/2006/relationships/hyperlink" Target="https://youtu.be/A5lKXg2vjQ4?si=LEinZXJ1_zbR9QvT" TargetMode="External"/><Relationship Id="rId31" Type="http://schemas.openxmlformats.org/officeDocument/2006/relationships/hyperlink" Target="https://youtu.be/a51Cne5x_RA?si=0__u9Y7xZ7dO5QWh" TargetMode="External"/><Relationship Id="rId44" Type="http://schemas.openxmlformats.org/officeDocument/2006/relationships/hyperlink" Target="https://youtu.be/8kV07xKAUWk?feature=shared" TargetMode="External"/><Relationship Id="rId52" Type="http://schemas.openxmlformats.org/officeDocument/2006/relationships/hyperlink" Target="https://youtu.be/Dyp7FPz6Lc4?si=WWXC1o0Nqwprz5I0" TargetMode="External"/><Relationship Id="rId60" Type="http://schemas.openxmlformats.org/officeDocument/2006/relationships/hyperlink" Target="https://youtu.be/M4Rw7zFd2O0?si=CqtMIClRLphwg8Lz" TargetMode="External"/><Relationship Id="rId65" Type="http://schemas.openxmlformats.org/officeDocument/2006/relationships/hyperlink" Target="https://youtu.be/FIB4lh9G9os?si=Y2OqxAsID78kQ7-2" TargetMode="External"/><Relationship Id="rId73" Type="http://schemas.openxmlformats.org/officeDocument/2006/relationships/hyperlink" Target="https://youtu.be/2rjTxJU9d5k?si=zyst1PxOaWhR9riP" TargetMode="External"/><Relationship Id="rId78" Type="http://schemas.openxmlformats.org/officeDocument/2006/relationships/hyperlink" Target="https://youtu.be/cnLjUXEyc8E?si=uxAlaQjUQWNwq9L1" TargetMode="External"/><Relationship Id="rId81" Type="http://schemas.openxmlformats.org/officeDocument/2006/relationships/hyperlink" Target="https://youtu.be/ElO4QlLUr4c?si=riy7Uyho-yamCCuE" TargetMode="External"/><Relationship Id="rId86" Type="http://schemas.openxmlformats.org/officeDocument/2006/relationships/hyperlink" Target="https://youtu.be/W2nwiIrektI?si=G1d6iCLf0Ccbqp7k" TargetMode="External"/><Relationship Id="rId94" Type="http://schemas.openxmlformats.org/officeDocument/2006/relationships/hyperlink" Target="https://youtu.be/wuCZeGyY8Q4?si=oWxCBLzYY4cD6lYr" TargetMode="External"/><Relationship Id="rId99" Type="http://schemas.openxmlformats.org/officeDocument/2006/relationships/hyperlink" Target="https://youtu.be/_Vnx6Omv3wk?si=QBpjvOBZUwp8RRTu" TargetMode="External"/><Relationship Id="rId101" Type="http://schemas.openxmlformats.org/officeDocument/2006/relationships/hyperlink" Target="https://www.youtube.com/watch?v=sL0pCS6K9bc" TargetMode="External"/><Relationship Id="rId4" Type="http://schemas.openxmlformats.org/officeDocument/2006/relationships/hyperlink" Target="https://youtu.be/_Omv-mgBfMM?si=kJ9enqhiscKclJti" TargetMode="External"/><Relationship Id="rId9" Type="http://schemas.openxmlformats.org/officeDocument/2006/relationships/hyperlink" Target="https://youtu.be/imhuKJsr7vM?si=9jI37OQ3I9eOagEP" TargetMode="External"/><Relationship Id="rId13" Type="http://schemas.openxmlformats.org/officeDocument/2006/relationships/hyperlink" Target="https://youtu.be/O-pZ3EEeZQA?si=cx06ORoagJatcahS" TargetMode="External"/><Relationship Id="rId18" Type="http://schemas.openxmlformats.org/officeDocument/2006/relationships/hyperlink" Target="https://youtu.be/mH2xcTgROvw?si=co5zNdgsx3IQnT-O" TargetMode="External"/><Relationship Id="rId39" Type="http://schemas.openxmlformats.org/officeDocument/2006/relationships/hyperlink" Target="https://youtu.be/DLhLv3EtAWA?si=HEzqWt30QckUiNxP" TargetMode="External"/><Relationship Id="rId34" Type="http://schemas.openxmlformats.org/officeDocument/2006/relationships/hyperlink" Target="https://youtu.be/zs6PsMcj-vg?si=mCeP7iJ-S1YaB0hJ" TargetMode="External"/><Relationship Id="rId50" Type="http://schemas.openxmlformats.org/officeDocument/2006/relationships/hyperlink" Target="https://youtu.be/fU1lHHbY0fM?si=eUVq2RuU0BBNWwvV" TargetMode="External"/><Relationship Id="rId55" Type="http://schemas.openxmlformats.org/officeDocument/2006/relationships/hyperlink" Target="https://youtu.be/UCOk37MhyF8?si=KToc6GcUcIIDaySS" TargetMode="External"/><Relationship Id="rId76" Type="http://schemas.openxmlformats.org/officeDocument/2006/relationships/hyperlink" Target="https://youtu.be/1eZRyXPwIhM?si=u80nCj-acZqQEEWq" TargetMode="External"/><Relationship Id="rId97" Type="http://schemas.openxmlformats.org/officeDocument/2006/relationships/hyperlink" Target="https://youtu.be/DqNcxkvZIAI?si=f4l3E-a3okLeyGpC" TargetMode="External"/><Relationship Id="rId7" Type="http://schemas.openxmlformats.org/officeDocument/2006/relationships/hyperlink" Target="https://youtu.be/FUpWmO6chIw?si=_e7R3YPyGn88lJ7W" TargetMode="External"/><Relationship Id="rId71" Type="http://schemas.openxmlformats.org/officeDocument/2006/relationships/hyperlink" Target="https://youtu.be/COfF37h1dRc?si=a2tdBuyd7PfoY82d" TargetMode="External"/><Relationship Id="rId92" Type="http://schemas.openxmlformats.org/officeDocument/2006/relationships/hyperlink" Target="https://youtu.be/QtJWFuTpib8?si=WsDNlL3DE0V7jgTx" TargetMode="External"/><Relationship Id="rId2" Type="http://schemas.openxmlformats.org/officeDocument/2006/relationships/hyperlink" Target="https://youtu.be/4Sf4G3tLg7A?si=QxHKM7KaE09rdk0y" TargetMode="External"/><Relationship Id="rId29" Type="http://schemas.openxmlformats.org/officeDocument/2006/relationships/hyperlink" Target="https://youtu.be/7PrxONon7jg?feature=shared" TargetMode="External"/><Relationship Id="rId24" Type="http://schemas.openxmlformats.org/officeDocument/2006/relationships/hyperlink" Target="https://youtu.be/6ME9HU0bSqQ?si=lcHQQygrt0epbsHt" TargetMode="External"/><Relationship Id="rId40" Type="http://schemas.openxmlformats.org/officeDocument/2006/relationships/hyperlink" Target="https://youtu.be/7oTKX4WnzTA?si=gO41p_6CLX-H9e1B" TargetMode="External"/><Relationship Id="rId45" Type="http://schemas.openxmlformats.org/officeDocument/2006/relationships/hyperlink" Target="https://youtu.be/mQXv864OnXc?si=pymMgPJOGVrr4u2H" TargetMode="External"/><Relationship Id="rId66" Type="http://schemas.openxmlformats.org/officeDocument/2006/relationships/hyperlink" Target="https://youtu.be/RuCTeTMEtAk?si=QL1J4AxUk6An1bcB" TargetMode="External"/><Relationship Id="rId87" Type="http://schemas.openxmlformats.org/officeDocument/2006/relationships/hyperlink" Target="https://youtu.be/Ag5Q6JtHcR8?si=YBQ5ak9mRRRuQodH" TargetMode="External"/><Relationship Id="rId61" Type="http://schemas.openxmlformats.org/officeDocument/2006/relationships/hyperlink" Target="https://youtu.be/mo6GJSms_wY?si=jQa_kGA9fvCIQ_pD" TargetMode="External"/><Relationship Id="rId82" Type="http://schemas.openxmlformats.org/officeDocument/2006/relationships/hyperlink" Target="https://youtu.be/lmfXEu5kQ7k?si=Byh1YVUQhy-cPMNw" TargetMode="External"/><Relationship Id="rId19" Type="http://schemas.openxmlformats.org/officeDocument/2006/relationships/hyperlink" Target="https://youtu.be/a1myc1Ap7Q8?si=8iWOVX1V86PwIXM8" TargetMode="External"/><Relationship Id="rId14" Type="http://schemas.openxmlformats.org/officeDocument/2006/relationships/hyperlink" Target="https://youtu.be/-Hc5ZhHjVbU?si=LQic0PqxmaLS1Ml0" TargetMode="External"/><Relationship Id="rId30" Type="http://schemas.openxmlformats.org/officeDocument/2006/relationships/hyperlink" Target="https://youtu.be/tVv-BIpZVzE?si=ZgAOUzmC2ZJMIwfP" TargetMode="External"/><Relationship Id="rId35" Type="http://schemas.openxmlformats.org/officeDocument/2006/relationships/hyperlink" Target="https://www.youtube.com/watch?v=P7vBoGWoReg" TargetMode="External"/><Relationship Id="rId56" Type="http://schemas.openxmlformats.org/officeDocument/2006/relationships/hyperlink" Target="https://youtu.be/ma8FcJxhZnw?si=x_pNSya6L8VurHBF" TargetMode="External"/><Relationship Id="rId77" Type="http://schemas.openxmlformats.org/officeDocument/2006/relationships/hyperlink" Target="https://youtu.be/bRCP3Jw6mpg?si=aJFrAQaVYSvbYD5O" TargetMode="External"/><Relationship Id="rId100" Type="http://schemas.openxmlformats.org/officeDocument/2006/relationships/hyperlink" Target="https://youtu.be/jI70BF157c0?si=oNrH9DWFqBXPbUKx" TargetMode="External"/><Relationship Id="rId8" Type="http://schemas.openxmlformats.org/officeDocument/2006/relationships/hyperlink" Target="https://youtu.be/f1uqCXwawW4?si=sCZlu7h3hAEqoH1h" TargetMode="External"/><Relationship Id="rId51" Type="http://schemas.openxmlformats.org/officeDocument/2006/relationships/hyperlink" Target="https://youtu.be/S-VLzICd2FE?si=DzlksSEZnM5e79ij" TargetMode="External"/><Relationship Id="rId72" Type="http://schemas.openxmlformats.org/officeDocument/2006/relationships/hyperlink" Target="https://youtu.be/GOB38_2ZCx4?si=stSde8aV7UvN-fN3" TargetMode="External"/><Relationship Id="rId93" Type="http://schemas.openxmlformats.org/officeDocument/2006/relationships/hyperlink" Target="https://youtu.be/7Xoe5mr0MlU?si=5EwN7VcMcWrHpaJk" TargetMode="External"/><Relationship Id="rId98" Type="http://schemas.openxmlformats.org/officeDocument/2006/relationships/hyperlink" Target="https://youtu.be/v5AE-SF1e0s?si=CFKVQ-M38o76_AX_" TargetMode="External"/><Relationship Id="rId3" Type="http://schemas.openxmlformats.org/officeDocument/2006/relationships/hyperlink" Target="https://youtu.be/JQm21nB4uwI?si=5dfLWKaGwllGL_h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302E7-C670-4CA0-B5D5-1E008D16A73A}">
  <dimension ref="A1:D9"/>
  <sheetViews>
    <sheetView workbookViewId="0">
      <selection activeCell="C3" sqref="C3"/>
    </sheetView>
  </sheetViews>
  <sheetFormatPr baseColWidth="10" defaultColWidth="8.83203125" defaultRowHeight="15" x14ac:dyDescent="0.2"/>
  <cols>
    <col min="1" max="1" width="22.6640625" bestFit="1" customWidth="1"/>
    <col min="3" max="3" width="81.83203125" bestFit="1" customWidth="1"/>
    <col min="4" max="4" width="105.33203125" bestFit="1" customWidth="1"/>
  </cols>
  <sheetData>
    <row r="1" spans="1:4" x14ac:dyDescent="0.2">
      <c r="A1" t="s">
        <v>11</v>
      </c>
      <c r="B1" t="s">
        <v>12</v>
      </c>
      <c r="C1" t="s">
        <v>21</v>
      </c>
      <c r="D1" t="s">
        <v>22</v>
      </c>
    </row>
    <row r="2" spans="1:4" ht="48" x14ac:dyDescent="0.2">
      <c r="A2" t="s">
        <v>13</v>
      </c>
      <c r="C2" s="1" t="s">
        <v>23</v>
      </c>
      <c r="D2" s="1" t="s">
        <v>24</v>
      </c>
    </row>
    <row r="3" spans="1:4" ht="32" x14ac:dyDescent="0.2">
      <c r="A3" t="s">
        <v>20</v>
      </c>
      <c r="C3" s="1" t="s">
        <v>38</v>
      </c>
      <c r="D3" s="1" t="s">
        <v>37</v>
      </c>
    </row>
    <row r="4" spans="1:4" ht="48" x14ac:dyDescent="0.2">
      <c r="A4" t="s">
        <v>14</v>
      </c>
      <c r="C4" s="1" t="s">
        <v>25</v>
      </c>
      <c r="D4" s="1" t="s">
        <v>26</v>
      </c>
    </row>
    <row r="5" spans="1:4" ht="48" x14ac:dyDescent="0.2">
      <c r="A5" t="s">
        <v>15</v>
      </c>
      <c r="C5" s="1" t="s">
        <v>27</v>
      </c>
      <c r="D5" s="1" t="s">
        <v>28</v>
      </c>
    </row>
    <row r="6" spans="1:4" ht="32" x14ac:dyDescent="0.2">
      <c r="A6" t="s">
        <v>16</v>
      </c>
      <c r="C6" s="1" t="s">
        <v>29</v>
      </c>
      <c r="D6" s="1" t="s">
        <v>30</v>
      </c>
    </row>
    <row r="7" spans="1:4" ht="32" x14ac:dyDescent="0.2">
      <c r="A7" t="s">
        <v>17</v>
      </c>
      <c r="C7" s="1" t="s">
        <v>31</v>
      </c>
      <c r="D7" s="1" t="s">
        <v>32</v>
      </c>
    </row>
    <row r="8" spans="1:4" ht="128" x14ac:dyDescent="0.2">
      <c r="A8" t="s">
        <v>18</v>
      </c>
      <c r="C8" s="1" t="s">
        <v>33</v>
      </c>
      <c r="D8" s="1" t="s">
        <v>34</v>
      </c>
    </row>
    <row r="9" spans="1:4" ht="16" x14ac:dyDescent="0.2">
      <c r="A9" t="s">
        <v>19</v>
      </c>
      <c r="C9" s="1" t="s">
        <v>35</v>
      </c>
      <c r="D9" s="1"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C927F-DA0A-364F-BC4F-3193A5FC34B0}">
  <dimension ref="A1"/>
  <sheetViews>
    <sheetView workbookViewId="0"/>
  </sheetViews>
  <sheetFormatPr baseColWidth="10"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3"/>
  <sheetViews>
    <sheetView tabSelected="1" topLeftCell="A94" zoomScaleNormal="100" workbookViewId="0">
      <selection activeCell="B118" sqref="B118"/>
    </sheetView>
  </sheetViews>
  <sheetFormatPr baseColWidth="10" defaultColWidth="8.83203125" defaultRowHeight="15" x14ac:dyDescent="0.2"/>
  <cols>
    <col min="1" max="1" width="28.6640625" bestFit="1" customWidth="1"/>
    <col min="2" max="2" width="13.1640625" bestFit="1" customWidth="1"/>
    <col min="3" max="3" width="11.6640625" bestFit="1" customWidth="1"/>
    <col min="4" max="4" width="21.1640625" bestFit="1" customWidth="1"/>
    <col min="5" max="5" width="21.1640625" customWidth="1"/>
    <col min="6" max="6" width="14.6640625" customWidth="1"/>
    <col min="7" max="7" width="14.83203125" bestFit="1" customWidth="1"/>
    <col min="8" max="8" width="13.83203125" customWidth="1"/>
    <col min="9" max="9" width="14.6640625" customWidth="1"/>
    <col min="10" max="10" width="17.5" bestFit="1" customWidth="1"/>
    <col min="11" max="11" width="16.5" bestFit="1" customWidth="1"/>
    <col min="12" max="12" width="21.33203125" customWidth="1"/>
  </cols>
  <sheetData>
    <row r="1" spans="1:11" ht="16" thickBot="1" x14ac:dyDescent="0.25">
      <c r="A1" t="s">
        <v>0</v>
      </c>
      <c r="B1" t="s">
        <v>1</v>
      </c>
      <c r="C1" t="s">
        <v>2</v>
      </c>
      <c r="D1" t="s">
        <v>3</v>
      </c>
      <c r="E1" t="s">
        <v>4</v>
      </c>
      <c r="F1" t="s">
        <v>5</v>
      </c>
      <c r="G1" t="s">
        <v>6</v>
      </c>
      <c r="H1" t="s">
        <v>7</v>
      </c>
      <c r="I1" t="s">
        <v>8</v>
      </c>
      <c r="J1" t="s">
        <v>9</v>
      </c>
      <c r="K1" t="s">
        <v>10</v>
      </c>
    </row>
    <row r="2" spans="1:11" ht="33" thickBot="1" x14ac:dyDescent="0.25">
      <c r="A2" s="14" t="s">
        <v>311</v>
      </c>
      <c r="B2" s="18" t="s">
        <v>312</v>
      </c>
      <c r="C2" s="18" t="s">
        <v>313</v>
      </c>
      <c r="D2" s="18" t="s">
        <v>42</v>
      </c>
      <c r="E2" s="21" t="s">
        <v>354</v>
      </c>
      <c r="F2">
        <v>0</v>
      </c>
      <c r="G2">
        <v>24</v>
      </c>
      <c r="H2">
        <v>0</v>
      </c>
      <c r="I2">
        <v>48</v>
      </c>
      <c r="J2">
        <f>Table1[[#This Row],[Start: Minute]]*60+Table1[[#This Row],[Start: Second]]</f>
        <v>24</v>
      </c>
      <c r="K2">
        <f t="shared" ref="K2:K33" si="0">H2*60+I2</f>
        <v>48</v>
      </c>
    </row>
    <row r="3" spans="1:11" ht="49" thickBot="1" x14ac:dyDescent="0.25">
      <c r="A3" s="15" t="s">
        <v>139</v>
      </c>
      <c r="B3" s="19" t="s">
        <v>140</v>
      </c>
      <c r="C3" s="19" t="s">
        <v>360</v>
      </c>
      <c r="D3" s="19" t="s">
        <v>42</v>
      </c>
      <c r="E3" s="17" t="s">
        <v>355</v>
      </c>
      <c r="F3">
        <v>0</v>
      </c>
      <c r="G3">
        <v>41</v>
      </c>
      <c r="H3">
        <v>1</v>
      </c>
      <c r="I3">
        <v>31</v>
      </c>
      <c r="J3">
        <f>Table1[[#This Row],[Start: Minute]]*60+Table1[[#This Row],[Start: Second]]</f>
        <v>41</v>
      </c>
      <c r="K3">
        <f t="shared" si="0"/>
        <v>91</v>
      </c>
    </row>
    <row r="4" spans="1:11" ht="33" thickBot="1" x14ac:dyDescent="0.25">
      <c r="A4" s="16" t="s">
        <v>90</v>
      </c>
      <c r="B4" s="20" t="s">
        <v>91</v>
      </c>
      <c r="C4" s="20" t="s">
        <v>92</v>
      </c>
      <c r="D4" s="20" t="s">
        <v>53</v>
      </c>
      <c r="E4" s="22" t="s">
        <v>336</v>
      </c>
      <c r="F4">
        <v>2</v>
      </c>
      <c r="G4">
        <v>13</v>
      </c>
      <c r="H4">
        <v>3</v>
      </c>
      <c r="I4">
        <v>36</v>
      </c>
      <c r="J4">
        <f>Table1[[#This Row],[Start: Minute]]*60+Table1[[#This Row],[Start: Second]]</f>
        <v>133</v>
      </c>
      <c r="K4">
        <f t="shared" si="0"/>
        <v>216</v>
      </c>
    </row>
    <row r="5" spans="1:11" ht="27" thickBot="1" x14ac:dyDescent="0.25">
      <c r="A5" s="17" t="s">
        <v>151</v>
      </c>
      <c r="B5" s="19" t="s">
        <v>506</v>
      </c>
      <c r="C5" s="19" t="s">
        <v>152</v>
      </c>
      <c r="D5" s="19" t="s">
        <v>42</v>
      </c>
      <c r="E5" s="17" t="s">
        <v>359</v>
      </c>
      <c r="F5">
        <v>0</v>
      </c>
      <c r="G5">
        <v>34</v>
      </c>
      <c r="H5">
        <v>0</v>
      </c>
      <c r="I5">
        <v>58</v>
      </c>
      <c r="J5">
        <f>Table1[[#This Row],[Start: Minute]]*60+Table1[[#This Row],[Start: Second]]</f>
        <v>34</v>
      </c>
      <c r="K5">
        <f t="shared" si="0"/>
        <v>58</v>
      </c>
    </row>
    <row r="6" spans="1:11" ht="33" thickBot="1" x14ac:dyDescent="0.25">
      <c r="A6" s="6" t="s">
        <v>299</v>
      </c>
      <c r="B6" s="7" t="s">
        <v>300</v>
      </c>
      <c r="C6" s="7" t="s">
        <v>301</v>
      </c>
      <c r="D6" s="7" t="s">
        <v>42</v>
      </c>
      <c r="E6" s="13" t="s">
        <v>349</v>
      </c>
      <c r="F6">
        <v>0</v>
      </c>
      <c r="G6">
        <v>55</v>
      </c>
      <c r="H6">
        <v>1</v>
      </c>
      <c r="I6">
        <v>43</v>
      </c>
      <c r="J6">
        <f>Table1[[#This Row],[Start: Minute]]*60+Table1[[#This Row],[Start: Second]]</f>
        <v>55</v>
      </c>
      <c r="K6">
        <f t="shared" si="0"/>
        <v>103</v>
      </c>
    </row>
    <row r="7" spans="1:11" ht="33" thickBot="1" x14ac:dyDescent="0.25">
      <c r="A7" s="4" t="s">
        <v>316</v>
      </c>
      <c r="B7" s="5" t="s">
        <v>279</v>
      </c>
      <c r="C7" s="5" t="s">
        <v>280</v>
      </c>
      <c r="D7" s="5" t="s">
        <v>79</v>
      </c>
      <c r="E7" s="12" t="s">
        <v>356</v>
      </c>
      <c r="F7">
        <v>2</v>
      </c>
      <c r="G7">
        <v>25</v>
      </c>
      <c r="H7">
        <v>3</v>
      </c>
      <c r="I7">
        <v>29</v>
      </c>
      <c r="J7">
        <f>Table1[[#This Row],[Start: Minute]]*60+Table1[[#This Row],[Start: Second]]</f>
        <v>145</v>
      </c>
      <c r="K7">
        <f t="shared" si="0"/>
        <v>209</v>
      </c>
    </row>
    <row r="8" spans="1:11" ht="65" thickBot="1" x14ac:dyDescent="0.25">
      <c r="A8" s="16" t="s">
        <v>76</v>
      </c>
      <c r="B8" s="20" t="s">
        <v>77</v>
      </c>
      <c r="C8" s="20" t="s">
        <v>78</v>
      </c>
      <c r="D8" s="20" t="s">
        <v>79</v>
      </c>
      <c r="E8" s="22" t="s">
        <v>333</v>
      </c>
      <c r="F8">
        <v>2</v>
      </c>
      <c r="G8">
        <v>45</v>
      </c>
      <c r="H8">
        <v>3</v>
      </c>
      <c r="I8">
        <v>15</v>
      </c>
      <c r="J8">
        <f>Table1[[#This Row],[Start: Minute]]*60+Table1[[#This Row],[Start: Second]]</f>
        <v>165</v>
      </c>
      <c r="K8">
        <f t="shared" si="0"/>
        <v>195</v>
      </c>
    </row>
    <row r="9" spans="1:11" ht="33" thickBot="1" x14ac:dyDescent="0.25">
      <c r="A9" s="4" t="s">
        <v>208</v>
      </c>
      <c r="B9" s="5" t="s">
        <v>209</v>
      </c>
      <c r="C9" s="5" t="s">
        <v>210</v>
      </c>
      <c r="D9" s="5" t="s">
        <v>46</v>
      </c>
      <c r="E9" s="12" t="s">
        <v>346</v>
      </c>
      <c r="F9">
        <v>0</v>
      </c>
      <c r="G9">
        <v>35</v>
      </c>
      <c r="H9">
        <v>1</v>
      </c>
      <c r="I9">
        <v>39</v>
      </c>
      <c r="J9">
        <f>Table1[[#This Row],[Start: Minute]]*60+Table1[[#This Row],[Start: Second]]</f>
        <v>35</v>
      </c>
      <c r="K9">
        <f t="shared" si="0"/>
        <v>99</v>
      </c>
    </row>
    <row r="10" spans="1:11" ht="33" thickBot="1" x14ac:dyDescent="0.25">
      <c r="A10" s="6" t="s">
        <v>60</v>
      </c>
      <c r="B10" s="7" t="s">
        <v>61</v>
      </c>
      <c r="C10" s="7" t="s">
        <v>62</v>
      </c>
      <c r="D10" s="7" t="s">
        <v>42</v>
      </c>
      <c r="E10" s="13" t="s">
        <v>328</v>
      </c>
      <c r="F10">
        <v>0</v>
      </c>
      <c r="G10">
        <v>46</v>
      </c>
      <c r="H10">
        <v>1</v>
      </c>
      <c r="I10">
        <v>15</v>
      </c>
      <c r="J10">
        <f>Table1[[#This Row],[Start: Minute]]*60+Table1[[#This Row],[Start: Second]]</f>
        <v>46</v>
      </c>
      <c r="K10">
        <f t="shared" si="0"/>
        <v>75</v>
      </c>
    </row>
    <row r="11" spans="1:11" ht="33" thickBot="1" x14ac:dyDescent="0.25">
      <c r="A11" s="15" t="s">
        <v>200</v>
      </c>
      <c r="B11" s="19" t="s">
        <v>61</v>
      </c>
      <c r="C11" s="19" t="s">
        <v>201</v>
      </c>
      <c r="D11" s="19" t="s">
        <v>42</v>
      </c>
      <c r="E11" s="17" t="s">
        <v>341</v>
      </c>
      <c r="F11">
        <v>0</v>
      </c>
      <c r="G11">
        <v>48</v>
      </c>
      <c r="H11">
        <v>1</v>
      </c>
      <c r="I11">
        <v>24</v>
      </c>
      <c r="J11">
        <f>Table1[[#This Row],[Start: Minute]]*60+Table1[[#This Row],[Start: Second]]</f>
        <v>48</v>
      </c>
      <c r="K11">
        <f t="shared" si="0"/>
        <v>84</v>
      </c>
    </row>
    <row r="12" spans="1:11" ht="33" thickBot="1" x14ac:dyDescent="0.25">
      <c r="A12" s="16" t="s">
        <v>132</v>
      </c>
      <c r="B12" s="20" t="s">
        <v>133</v>
      </c>
      <c r="C12" s="20" t="s">
        <v>134</v>
      </c>
      <c r="D12" s="20" t="s">
        <v>135</v>
      </c>
      <c r="E12" s="22" t="s">
        <v>352</v>
      </c>
      <c r="F12">
        <v>0</v>
      </c>
      <c r="G12">
        <v>0</v>
      </c>
      <c r="H12">
        <v>0</v>
      </c>
      <c r="I12">
        <v>40</v>
      </c>
      <c r="J12">
        <f>Table1[[#This Row],[Start: Minute]]*60+Table1[[#This Row],[Start: Second]]</f>
        <v>0</v>
      </c>
      <c r="K12">
        <f t="shared" si="0"/>
        <v>40</v>
      </c>
    </row>
    <row r="13" spans="1:11" ht="33" thickBot="1" x14ac:dyDescent="0.25">
      <c r="A13" s="4" t="s">
        <v>96</v>
      </c>
      <c r="B13" s="5" t="s">
        <v>97</v>
      </c>
      <c r="C13" s="5" t="s">
        <v>98</v>
      </c>
      <c r="D13" s="5" t="s">
        <v>42</v>
      </c>
      <c r="E13" s="12" t="s">
        <v>338</v>
      </c>
      <c r="F13">
        <v>0</v>
      </c>
      <c r="G13">
        <v>46</v>
      </c>
      <c r="H13">
        <v>1</v>
      </c>
      <c r="I13">
        <v>4</v>
      </c>
      <c r="J13">
        <f>Table1[[#This Row],[Start: Minute]]*60+Table1[[#This Row],[Start: Second]]</f>
        <v>46</v>
      </c>
      <c r="K13">
        <f t="shared" si="0"/>
        <v>64</v>
      </c>
    </row>
    <row r="14" spans="1:11" ht="33" thickBot="1" x14ac:dyDescent="0.25">
      <c r="A14" s="16" t="s">
        <v>192</v>
      </c>
      <c r="B14" s="20" t="s">
        <v>193</v>
      </c>
      <c r="C14" s="20" t="s">
        <v>194</v>
      </c>
      <c r="D14" s="20" t="s">
        <v>42</v>
      </c>
      <c r="E14" s="22" t="s">
        <v>338</v>
      </c>
      <c r="F14">
        <v>0</v>
      </c>
      <c r="G14">
        <v>45</v>
      </c>
      <c r="H14">
        <v>0</v>
      </c>
      <c r="I14">
        <v>59</v>
      </c>
      <c r="J14">
        <f>Table1[[#This Row],[Start: Minute]]*60+Table1[[#This Row],[Start: Second]]</f>
        <v>45</v>
      </c>
      <c r="K14">
        <f t="shared" si="0"/>
        <v>59</v>
      </c>
    </row>
    <row r="15" spans="1:11" ht="33" thickBot="1" x14ac:dyDescent="0.25">
      <c r="A15" s="15" t="s">
        <v>128</v>
      </c>
      <c r="B15" s="19" t="s">
        <v>129</v>
      </c>
      <c r="C15" s="19" t="s">
        <v>130</v>
      </c>
      <c r="D15" s="19" t="s">
        <v>131</v>
      </c>
      <c r="E15" s="17" t="s">
        <v>351</v>
      </c>
      <c r="F15">
        <v>2</v>
      </c>
      <c r="G15">
        <v>32</v>
      </c>
      <c r="H15">
        <v>3</v>
      </c>
      <c r="I15">
        <v>52</v>
      </c>
      <c r="J15">
        <f>Table1[[#This Row],[Start: Minute]]*60+Table1[[#This Row],[Start: Second]]</f>
        <v>152</v>
      </c>
      <c r="K15">
        <f t="shared" si="0"/>
        <v>232</v>
      </c>
    </row>
    <row r="16" spans="1:11" ht="33" thickBot="1" x14ac:dyDescent="0.25">
      <c r="A16" s="6" t="s">
        <v>222</v>
      </c>
      <c r="B16" s="7" t="s">
        <v>223</v>
      </c>
      <c r="C16" s="7" t="s">
        <v>224</v>
      </c>
      <c r="D16" s="7" t="s">
        <v>42</v>
      </c>
      <c r="E16" s="13" t="s">
        <v>353</v>
      </c>
      <c r="F16">
        <v>0</v>
      </c>
      <c r="G16">
        <v>35</v>
      </c>
      <c r="H16">
        <v>1</v>
      </c>
      <c r="I16">
        <v>25</v>
      </c>
      <c r="J16">
        <f>Table1[[#This Row],[Start: Minute]]*60+Table1[[#This Row],[Start: Second]]</f>
        <v>35</v>
      </c>
      <c r="K16">
        <f t="shared" si="0"/>
        <v>85</v>
      </c>
    </row>
    <row r="17" spans="1:11" ht="33" thickBot="1" x14ac:dyDescent="0.25">
      <c r="A17" s="15" t="s">
        <v>266</v>
      </c>
      <c r="B17" s="19" t="s">
        <v>223</v>
      </c>
      <c r="C17" s="19" t="s">
        <v>267</v>
      </c>
      <c r="D17" s="19" t="s">
        <v>53</v>
      </c>
      <c r="E17" s="17" t="s">
        <v>327</v>
      </c>
      <c r="F17">
        <v>1</v>
      </c>
      <c r="G17">
        <v>32</v>
      </c>
      <c r="H17">
        <v>2</v>
      </c>
      <c r="I17">
        <v>18</v>
      </c>
      <c r="J17">
        <f>Table1[[#This Row],[Start: Minute]]*60+Table1[[#This Row],[Start: Second]]</f>
        <v>92</v>
      </c>
      <c r="K17">
        <f t="shared" si="0"/>
        <v>138</v>
      </c>
    </row>
    <row r="18" spans="1:11" ht="33" thickBot="1" x14ac:dyDescent="0.25">
      <c r="A18" s="6" t="s">
        <v>260</v>
      </c>
      <c r="B18" s="7" t="s">
        <v>261</v>
      </c>
      <c r="C18" s="7" t="s">
        <v>262</v>
      </c>
      <c r="D18" s="7" t="s">
        <v>42</v>
      </c>
      <c r="E18" s="13" t="s">
        <v>332</v>
      </c>
      <c r="F18">
        <v>1</v>
      </c>
      <c r="G18">
        <v>0</v>
      </c>
      <c r="H18">
        <v>1</v>
      </c>
      <c r="I18">
        <v>36</v>
      </c>
      <c r="J18">
        <f>Table1[[#This Row],[Start: Minute]]*60+Table1[[#This Row],[Start: Second]]</f>
        <v>60</v>
      </c>
      <c r="K18">
        <f t="shared" si="0"/>
        <v>96</v>
      </c>
    </row>
    <row r="19" spans="1:11" ht="33" thickBot="1" x14ac:dyDescent="0.25">
      <c r="A19" s="4" t="s">
        <v>225</v>
      </c>
      <c r="B19" s="5" t="s">
        <v>226</v>
      </c>
      <c r="C19" s="5" t="s">
        <v>227</v>
      </c>
      <c r="D19" s="5" t="s">
        <v>42</v>
      </c>
      <c r="E19" s="12" t="s">
        <v>354</v>
      </c>
      <c r="F19">
        <v>1</v>
      </c>
      <c r="G19">
        <v>1</v>
      </c>
      <c r="H19">
        <v>1</v>
      </c>
      <c r="I19">
        <v>31</v>
      </c>
      <c r="J19">
        <f>Table1[[#This Row],[Start: Minute]]*60+Table1[[#This Row],[Start: Second]]</f>
        <v>61</v>
      </c>
      <c r="K19">
        <f t="shared" si="0"/>
        <v>91</v>
      </c>
    </row>
    <row r="20" spans="1:11" ht="33" thickBot="1" x14ac:dyDescent="0.25">
      <c r="A20" s="6" t="s">
        <v>317</v>
      </c>
      <c r="B20" s="7" t="s">
        <v>318</v>
      </c>
      <c r="C20" s="7" t="s">
        <v>319</v>
      </c>
      <c r="D20" s="7" t="s">
        <v>178</v>
      </c>
      <c r="E20" s="13" t="s">
        <v>357</v>
      </c>
      <c r="F20">
        <v>1</v>
      </c>
      <c r="G20">
        <v>25</v>
      </c>
      <c r="H20">
        <v>2</v>
      </c>
      <c r="I20">
        <v>0</v>
      </c>
      <c r="J20">
        <f>Table1[[#This Row],[Start: Minute]]*60+Table1[[#This Row],[Start: Second]]</f>
        <v>85</v>
      </c>
      <c r="K20">
        <f t="shared" si="0"/>
        <v>120</v>
      </c>
    </row>
    <row r="21" spans="1:11" ht="33" thickBot="1" x14ac:dyDescent="0.25">
      <c r="A21" s="15" t="s">
        <v>99</v>
      </c>
      <c r="B21" s="19" t="s">
        <v>100</v>
      </c>
      <c r="C21" s="19" t="s">
        <v>101</v>
      </c>
      <c r="D21" s="19" t="s">
        <v>46</v>
      </c>
      <c r="E21" s="17" t="s">
        <v>339</v>
      </c>
      <c r="F21">
        <v>0</v>
      </c>
      <c r="G21">
        <v>26</v>
      </c>
      <c r="H21">
        <v>1</v>
      </c>
      <c r="I21">
        <v>15</v>
      </c>
      <c r="J21">
        <f>Table1[[#This Row],[Start: Minute]]*60+Table1[[#This Row],[Start: Second]]</f>
        <v>26</v>
      </c>
      <c r="K21">
        <f t="shared" si="0"/>
        <v>75</v>
      </c>
    </row>
    <row r="22" spans="1:11" ht="40" thickBot="1" x14ac:dyDescent="0.25">
      <c r="A22" s="16" t="s">
        <v>112</v>
      </c>
      <c r="B22" s="20" t="s">
        <v>100</v>
      </c>
      <c r="C22" s="20" t="s">
        <v>113</v>
      </c>
      <c r="D22" s="20" t="s">
        <v>42</v>
      </c>
      <c r="E22" s="22" t="s">
        <v>344</v>
      </c>
      <c r="F22">
        <v>0</v>
      </c>
      <c r="G22">
        <v>44</v>
      </c>
      <c r="H22">
        <v>1</v>
      </c>
      <c r="I22">
        <v>18</v>
      </c>
      <c r="J22">
        <f>Table1[[#This Row],[Start: Minute]]*60+Table1[[#This Row],[Start: Second]]</f>
        <v>44</v>
      </c>
      <c r="K22">
        <f t="shared" si="0"/>
        <v>78</v>
      </c>
    </row>
    <row r="23" spans="1:11" ht="33" thickBot="1" x14ac:dyDescent="0.25">
      <c r="A23" s="4" t="s">
        <v>289</v>
      </c>
      <c r="B23" s="5" t="s">
        <v>100</v>
      </c>
      <c r="C23" s="5" t="s">
        <v>290</v>
      </c>
      <c r="D23" s="5" t="s">
        <v>53</v>
      </c>
      <c r="E23" s="12" t="s">
        <v>344</v>
      </c>
      <c r="F23">
        <v>1</v>
      </c>
      <c r="G23">
        <v>30</v>
      </c>
      <c r="H23">
        <v>2</v>
      </c>
      <c r="I23">
        <v>55</v>
      </c>
      <c r="J23">
        <f>Table1[[#This Row],[Start: Minute]]*60+Table1[[#This Row],[Start: Second]]</f>
        <v>90</v>
      </c>
      <c r="K23">
        <f t="shared" si="0"/>
        <v>175</v>
      </c>
    </row>
    <row r="24" spans="1:11" ht="33" thickBot="1" x14ac:dyDescent="0.25">
      <c r="A24" s="16" t="s">
        <v>69</v>
      </c>
      <c r="B24" s="20" t="s">
        <v>70</v>
      </c>
      <c r="C24" s="20" t="s">
        <v>71</v>
      </c>
      <c r="D24" s="20" t="s">
        <v>72</v>
      </c>
      <c r="E24" s="22" t="s">
        <v>331</v>
      </c>
      <c r="F24">
        <v>0</v>
      </c>
      <c r="G24">
        <v>36</v>
      </c>
      <c r="H24">
        <v>1</v>
      </c>
      <c r="I24">
        <v>14</v>
      </c>
      <c r="J24">
        <f>Table1[[#This Row],[Start: Minute]]*60+Table1[[#This Row],[Start: Second]]</f>
        <v>36</v>
      </c>
      <c r="K24">
        <f t="shared" si="0"/>
        <v>74</v>
      </c>
    </row>
    <row r="25" spans="1:11" ht="33" thickBot="1" x14ac:dyDescent="0.25">
      <c r="A25" s="4" t="s">
        <v>245</v>
      </c>
      <c r="B25" s="5" t="s">
        <v>246</v>
      </c>
      <c r="C25" s="5" t="s">
        <v>247</v>
      </c>
      <c r="D25" s="5" t="s">
        <v>46</v>
      </c>
      <c r="E25" s="12" t="s">
        <v>325</v>
      </c>
      <c r="F25">
        <v>0</v>
      </c>
      <c r="G25">
        <v>40</v>
      </c>
      <c r="H25">
        <v>1</v>
      </c>
      <c r="I25">
        <v>30</v>
      </c>
      <c r="J25">
        <f>Table1[[#This Row],[Start: Minute]]*60+Table1[[#This Row],[Start: Second]]</f>
        <v>40</v>
      </c>
      <c r="K25">
        <f t="shared" si="0"/>
        <v>90</v>
      </c>
    </row>
    <row r="26" spans="1:11" ht="33" thickBot="1" x14ac:dyDescent="0.25">
      <c r="A26" s="15" t="s">
        <v>277</v>
      </c>
      <c r="B26" s="19" t="s">
        <v>278</v>
      </c>
      <c r="C26" s="19" t="s">
        <v>236</v>
      </c>
      <c r="D26" s="19" t="s">
        <v>42</v>
      </c>
      <c r="E26" s="17" t="s">
        <v>339</v>
      </c>
      <c r="F26">
        <v>0</v>
      </c>
      <c r="G26">
        <v>48</v>
      </c>
      <c r="H26">
        <v>1</v>
      </c>
      <c r="I26">
        <v>26</v>
      </c>
      <c r="J26">
        <f>Table1[[#This Row],[Start: Minute]]*60+Table1[[#This Row],[Start: Second]]</f>
        <v>48</v>
      </c>
      <c r="K26">
        <f t="shared" si="0"/>
        <v>86</v>
      </c>
    </row>
    <row r="27" spans="1:11" ht="33" thickBot="1" x14ac:dyDescent="0.25">
      <c r="A27" s="6" t="s">
        <v>93</v>
      </c>
      <c r="B27" s="7" t="s">
        <v>94</v>
      </c>
      <c r="C27" s="7" t="s">
        <v>95</v>
      </c>
      <c r="D27" s="7" t="s">
        <v>42</v>
      </c>
      <c r="E27" s="13" t="s">
        <v>337</v>
      </c>
      <c r="F27">
        <v>0</v>
      </c>
      <c r="G27">
        <v>58</v>
      </c>
      <c r="H27">
        <v>1</v>
      </c>
      <c r="I27">
        <v>27</v>
      </c>
      <c r="J27">
        <f>Table1[[#This Row],[Start: Minute]]*60+Table1[[#This Row],[Start: Second]]</f>
        <v>58</v>
      </c>
      <c r="K27">
        <f t="shared" si="0"/>
        <v>87</v>
      </c>
    </row>
    <row r="28" spans="1:11" ht="33" thickBot="1" x14ac:dyDescent="0.25">
      <c r="A28" s="4" t="s">
        <v>156</v>
      </c>
      <c r="B28" s="5" t="s">
        <v>94</v>
      </c>
      <c r="C28" s="5" t="s">
        <v>157</v>
      </c>
      <c r="D28" s="5" t="s">
        <v>53</v>
      </c>
      <c r="E28" s="12" t="s">
        <v>323</v>
      </c>
      <c r="F28">
        <v>1</v>
      </c>
      <c r="G28">
        <v>40</v>
      </c>
      <c r="H28">
        <v>2</v>
      </c>
      <c r="I28">
        <v>54</v>
      </c>
      <c r="J28">
        <f>Table1[[#This Row],[Start: Minute]]*60+Table1[[#This Row],[Start: Second]]</f>
        <v>100</v>
      </c>
      <c r="K28">
        <f t="shared" si="0"/>
        <v>174</v>
      </c>
    </row>
    <row r="29" spans="1:11" ht="33" thickBot="1" x14ac:dyDescent="0.25">
      <c r="A29" s="16" t="s">
        <v>57</v>
      </c>
      <c r="B29" s="20" t="s">
        <v>58</v>
      </c>
      <c r="C29" s="20" t="s">
        <v>59</v>
      </c>
      <c r="D29" s="20" t="s">
        <v>42</v>
      </c>
      <c r="E29" s="22" t="s">
        <v>327</v>
      </c>
      <c r="F29">
        <v>0</v>
      </c>
      <c r="G29">
        <v>47</v>
      </c>
      <c r="H29">
        <v>1</v>
      </c>
      <c r="I29">
        <v>10</v>
      </c>
      <c r="J29">
        <f>Table1[[#This Row],[Start: Minute]]*60+Table1[[#This Row],[Start: Second]]</f>
        <v>47</v>
      </c>
      <c r="K29">
        <f t="shared" si="0"/>
        <v>70</v>
      </c>
    </row>
    <row r="30" spans="1:11" ht="49" thickBot="1" x14ac:dyDescent="0.25">
      <c r="A30" s="4" t="s">
        <v>63</v>
      </c>
      <c r="B30" s="5" t="s">
        <v>64</v>
      </c>
      <c r="C30" s="5" t="s">
        <v>65</v>
      </c>
      <c r="D30" s="5" t="s">
        <v>42</v>
      </c>
      <c r="E30" s="12" t="s">
        <v>329</v>
      </c>
      <c r="F30">
        <v>0</v>
      </c>
      <c r="G30">
        <v>38</v>
      </c>
      <c r="H30">
        <v>0</v>
      </c>
      <c r="I30">
        <v>55</v>
      </c>
      <c r="J30">
        <f>Table1[[#This Row],[Start: Minute]]*60+Table1[[#This Row],[Start: Second]]</f>
        <v>38</v>
      </c>
      <c r="K30">
        <f t="shared" si="0"/>
        <v>55</v>
      </c>
    </row>
    <row r="31" spans="1:11" ht="33" thickBot="1" x14ac:dyDescent="0.25">
      <c r="A31" s="16" t="s">
        <v>296</v>
      </c>
      <c r="B31" s="20" t="s">
        <v>297</v>
      </c>
      <c r="C31" s="20" t="s">
        <v>298</v>
      </c>
      <c r="D31" s="20" t="s">
        <v>42</v>
      </c>
      <c r="E31" s="22" t="s">
        <v>348</v>
      </c>
      <c r="F31">
        <v>0</v>
      </c>
      <c r="G31">
        <v>35</v>
      </c>
      <c r="H31">
        <v>1</v>
      </c>
      <c r="I31">
        <v>23</v>
      </c>
      <c r="J31">
        <f>Table1[[#This Row],[Start: Minute]]*60+Table1[[#This Row],[Start: Second]]</f>
        <v>35</v>
      </c>
      <c r="K31">
        <f t="shared" si="0"/>
        <v>83</v>
      </c>
    </row>
    <row r="32" spans="1:11" ht="49" thickBot="1" x14ac:dyDescent="0.25">
      <c r="A32" s="15" t="s">
        <v>252</v>
      </c>
      <c r="B32" s="19" t="s">
        <v>253</v>
      </c>
      <c r="C32" s="19" t="s">
        <v>254</v>
      </c>
      <c r="D32" s="19" t="s">
        <v>42</v>
      </c>
      <c r="E32" s="17" t="s">
        <v>328</v>
      </c>
      <c r="F32">
        <v>0</v>
      </c>
      <c r="G32">
        <v>47</v>
      </c>
      <c r="H32">
        <v>1</v>
      </c>
      <c r="I32">
        <v>18</v>
      </c>
      <c r="J32">
        <f>Table1[[#This Row],[Start: Minute]]*60+Table1[[#This Row],[Start: Second]]</f>
        <v>47</v>
      </c>
      <c r="K32">
        <f t="shared" si="0"/>
        <v>78</v>
      </c>
    </row>
    <row r="33" spans="1:11" ht="33" thickBot="1" x14ac:dyDescent="0.25">
      <c r="A33" s="16" t="s">
        <v>160</v>
      </c>
      <c r="B33" s="20" t="s">
        <v>161</v>
      </c>
      <c r="C33" s="20" t="s">
        <v>162</v>
      </c>
      <c r="D33" s="20" t="s">
        <v>46</v>
      </c>
      <c r="E33" s="22" t="s">
        <v>325</v>
      </c>
      <c r="F33">
        <v>0</v>
      </c>
      <c r="G33">
        <v>40</v>
      </c>
      <c r="H33">
        <v>1</v>
      </c>
      <c r="I33">
        <v>40</v>
      </c>
      <c r="J33">
        <f>Table1[[#This Row],[Start: Minute]]*60+Table1[[#This Row],[Start: Second]]</f>
        <v>40</v>
      </c>
      <c r="K33">
        <f t="shared" si="0"/>
        <v>100</v>
      </c>
    </row>
    <row r="34" spans="1:11" ht="33" thickBot="1" x14ac:dyDescent="0.25">
      <c r="A34" s="4" t="s">
        <v>284</v>
      </c>
      <c r="B34" s="5" t="s">
        <v>285</v>
      </c>
      <c r="C34" s="5" t="s">
        <v>286</v>
      </c>
      <c r="D34" s="5" t="s">
        <v>42</v>
      </c>
      <c r="E34" s="12" t="s">
        <v>342</v>
      </c>
      <c r="F34">
        <v>0</v>
      </c>
      <c r="G34">
        <v>54</v>
      </c>
      <c r="H34">
        <v>1</v>
      </c>
      <c r="I34">
        <v>46</v>
      </c>
      <c r="J34">
        <f>Table1[[#This Row],[Start: Minute]]*60+Table1[[#This Row],[Start: Second]]</f>
        <v>54</v>
      </c>
      <c r="K34">
        <f t="shared" ref="K34:K65" si="1">H34*60+I34</f>
        <v>106</v>
      </c>
    </row>
    <row r="35" spans="1:11" ht="33" thickBot="1" x14ac:dyDescent="0.25">
      <c r="A35" s="2" t="s">
        <v>114</v>
      </c>
      <c r="B35" s="3" t="s">
        <v>115</v>
      </c>
      <c r="C35" s="3" t="s">
        <v>116</v>
      </c>
      <c r="D35" s="3" t="s">
        <v>42</v>
      </c>
      <c r="E35" s="11" t="s">
        <v>345</v>
      </c>
      <c r="F35">
        <v>0</v>
      </c>
      <c r="G35">
        <v>37</v>
      </c>
      <c r="H35">
        <v>1</v>
      </c>
      <c r="I35">
        <v>15</v>
      </c>
      <c r="J35">
        <f>Table1[[#This Row],[Start: Minute]]*60+Table1[[#This Row],[Start: Second]]</f>
        <v>37</v>
      </c>
      <c r="K35">
        <f t="shared" si="1"/>
        <v>75</v>
      </c>
    </row>
    <row r="36" spans="1:11" ht="33" thickBot="1" x14ac:dyDescent="0.25">
      <c r="A36" s="15" t="s">
        <v>168</v>
      </c>
      <c r="B36" s="19" t="s">
        <v>169</v>
      </c>
      <c r="C36" s="19" t="s">
        <v>170</v>
      </c>
      <c r="D36" s="19" t="s">
        <v>46</v>
      </c>
      <c r="E36" s="17" t="s">
        <v>328</v>
      </c>
      <c r="F36">
        <v>0</v>
      </c>
      <c r="G36">
        <v>28</v>
      </c>
      <c r="H36">
        <v>1</v>
      </c>
      <c r="I36">
        <v>14</v>
      </c>
      <c r="J36">
        <f>Table1[[#This Row],[Start: Minute]]*60+Table1[[#This Row],[Start: Second]]</f>
        <v>28</v>
      </c>
      <c r="K36">
        <f t="shared" si="1"/>
        <v>74</v>
      </c>
    </row>
    <row r="37" spans="1:11" ht="33" thickBot="1" x14ac:dyDescent="0.25">
      <c r="A37" s="16" t="s">
        <v>221</v>
      </c>
      <c r="B37" s="20" t="s">
        <v>115</v>
      </c>
      <c r="C37" s="20" t="s">
        <v>108</v>
      </c>
      <c r="D37" s="20" t="s">
        <v>46</v>
      </c>
      <c r="E37" s="22" t="s">
        <v>352</v>
      </c>
      <c r="F37">
        <v>0</v>
      </c>
      <c r="G37">
        <v>30</v>
      </c>
      <c r="H37">
        <v>1</v>
      </c>
      <c r="I37">
        <v>19</v>
      </c>
      <c r="J37">
        <f>Table1[[#This Row],[Start: Minute]]*60+Table1[[#This Row],[Start: Second]]</f>
        <v>30</v>
      </c>
      <c r="K37">
        <f t="shared" si="1"/>
        <v>79</v>
      </c>
    </row>
    <row r="38" spans="1:11" ht="33" thickBot="1" x14ac:dyDescent="0.25">
      <c r="A38" s="15" t="s">
        <v>291</v>
      </c>
      <c r="B38" s="19" t="s">
        <v>115</v>
      </c>
      <c r="C38" s="19" t="s">
        <v>292</v>
      </c>
      <c r="D38" s="19" t="s">
        <v>42</v>
      </c>
      <c r="E38" s="17" t="s">
        <v>345</v>
      </c>
      <c r="F38">
        <v>0</v>
      </c>
      <c r="G38">
        <v>30</v>
      </c>
      <c r="H38">
        <v>1</v>
      </c>
      <c r="I38">
        <v>16</v>
      </c>
      <c r="J38">
        <f>Table1[[#This Row],[Start: Minute]]*60+Table1[[#This Row],[Start: Second]]</f>
        <v>30</v>
      </c>
      <c r="K38">
        <f t="shared" si="1"/>
        <v>76</v>
      </c>
    </row>
    <row r="39" spans="1:11" ht="33" thickBot="1" x14ac:dyDescent="0.25">
      <c r="A39" s="6" t="s">
        <v>302</v>
      </c>
      <c r="B39" s="7" t="s">
        <v>115</v>
      </c>
      <c r="C39" s="7" t="s">
        <v>303</v>
      </c>
      <c r="D39" s="7" t="s">
        <v>46</v>
      </c>
      <c r="E39" s="13" t="s">
        <v>351</v>
      </c>
      <c r="F39">
        <v>0</v>
      </c>
      <c r="G39">
        <v>38</v>
      </c>
      <c r="H39">
        <v>1</v>
      </c>
      <c r="I39">
        <v>53</v>
      </c>
      <c r="J39">
        <f>Table1[[#This Row],[Start: Minute]]*60+Table1[[#This Row],[Start: Second]]</f>
        <v>38</v>
      </c>
      <c r="K39">
        <f t="shared" si="1"/>
        <v>113</v>
      </c>
    </row>
    <row r="40" spans="1:11" ht="33" thickBot="1" x14ac:dyDescent="0.25">
      <c r="A40" s="15" t="s">
        <v>66</v>
      </c>
      <c r="B40" s="19" t="s">
        <v>67</v>
      </c>
      <c r="C40" s="19" t="s">
        <v>68</v>
      </c>
      <c r="D40" s="19" t="s">
        <v>42</v>
      </c>
      <c r="E40" s="17" t="s">
        <v>330</v>
      </c>
      <c r="F40">
        <v>0</v>
      </c>
      <c r="G40">
        <v>39</v>
      </c>
      <c r="H40">
        <v>1</v>
      </c>
      <c r="I40">
        <v>17</v>
      </c>
      <c r="J40">
        <f>Table1[[#This Row],[Start: Minute]]*60+Table1[[#This Row],[Start: Second]]</f>
        <v>39</v>
      </c>
      <c r="K40">
        <f t="shared" si="1"/>
        <v>77</v>
      </c>
    </row>
    <row r="41" spans="1:11" ht="33" thickBot="1" x14ac:dyDescent="0.25">
      <c r="A41" s="6" t="s">
        <v>195</v>
      </c>
      <c r="B41" s="7" t="s">
        <v>67</v>
      </c>
      <c r="C41" s="7" t="s">
        <v>196</v>
      </c>
      <c r="D41" s="7" t="s">
        <v>42</v>
      </c>
      <c r="E41" s="13" t="s">
        <v>339</v>
      </c>
      <c r="F41">
        <v>0</v>
      </c>
      <c r="G41">
        <v>30</v>
      </c>
      <c r="H41">
        <v>1</v>
      </c>
      <c r="I41">
        <v>5</v>
      </c>
      <c r="J41">
        <f>Table1[[#This Row],[Start: Minute]]*60+Table1[[#This Row],[Start: Second]]</f>
        <v>30</v>
      </c>
      <c r="K41">
        <f t="shared" si="1"/>
        <v>65</v>
      </c>
    </row>
    <row r="42" spans="1:11" ht="33" thickBot="1" x14ac:dyDescent="0.25">
      <c r="A42" s="4" t="s">
        <v>216</v>
      </c>
      <c r="B42" s="5" t="s">
        <v>217</v>
      </c>
      <c r="C42" s="5" t="s">
        <v>218</v>
      </c>
      <c r="D42" s="5" t="s">
        <v>53</v>
      </c>
      <c r="E42" s="12" t="s">
        <v>350</v>
      </c>
      <c r="F42">
        <v>1</v>
      </c>
      <c r="G42">
        <v>27</v>
      </c>
      <c r="H42">
        <v>2</v>
      </c>
      <c r="I42">
        <v>34</v>
      </c>
      <c r="J42">
        <f>Table1[[#This Row],[Start: Minute]]*60+Table1[[#This Row],[Start: Second]]</f>
        <v>87</v>
      </c>
      <c r="K42">
        <f t="shared" si="1"/>
        <v>154</v>
      </c>
    </row>
    <row r="43" spans="1:11" ht="33" thickBot="1" x14ac:dyDescent="0.25">
      <c r="A43" s="6" t="s">
        <v>109</v>
      </c>
      <c r="B43" s="7" t="s">
        <v>110</v>
      </c>
      <c r="C43" s="7" t="s">
        <v>111</v>
      </c>
      <c r="D43" s="7" t="s">
        <v>53</v>
      </c>
      <c r="E43" s="13" t="s">
        <v>343</v>
      </c>
      <c r="F43">
        <v>1</v>
      </c>
      <c r="G43">
        <v>52</v>
      </c>
      <c r="H43">
        <v>2</v>
      </c>
      <c r="I43">
        <v>37</v>
      </c>
      <c r="J43">
        <f>Table1[[#This Row],[Start: Minute]]*60+Table1[[#This Row],[Start: Second]]</f>
        <v>112</v>
      </c>
      <c r="K43">
        <f t="shared" si="1"/>
        <v>157</v>
      </c>
    </row>
    <row r="44" spans="1:11" ht="33" thickBot="1" x14ac:dyDescent="0.25">
      <c r="A44" s="15" t="s">
        <v>144</v>
      </c>
      <c r="B44" s="19" t="s">
        <v>145</v>
      </c>
      <c r="C44" s="19" t="s">
        <v>146</v>
      </c>
      <c r="D44" s="19" t="s">
        <v>79</v>
      </c>
      <c r="E44" s="17" t="s">
        <v>357</v>
      </c>
      <c r="F44">
        <v>2</v>
      </c>
      <c r="G44">
        <v>15</v>
      </c>
      <c r="H44">
        <v>3</v>
      </c>
      <c r="I44">
        <v>8</v>
      </c>
      <c r="J44">
        <f>Table1[[#This Row],[Start: Minute]]*60+Table1[[#This Row],[Start: Second]]</f>
        <v>135</v>
      </c>
      <c r="K44">
        <f t="shared" si="1"/>
        <v>188</v>
      </c>
    </row>
    <row r="45" spans="1:11" ht="33" thickBot="1" x14ac:dyDescent="0.25">
      <c r="A45" s="6" t="s">
        <v>231</v>
      </c>
      <c r="B45" s="7" t="s">
        <v>145</v>
      </c>
      <c r="C45" s="7" t="s">
        <v>232</v>
      </c>
      <c r="D45" s="7" t="s">
        <v>42</v>
      </c>
      <c r="E45" s="13" t="s">
        <v>357</v>
      </c>
      <c r="F45">
        <v>0</v>
      </c>
      <c r="G45">
        <v>17</v>
      </c>
      <c r="H45">
        <v>1</v>
      </c>
      <c r="I45">
        <v>13</v>
      </c>
      <c r="J45">
        <f>Table1[[#This Row],[Start: Minute]]*60+Table1[[#This Row],[Start: Second]]</f>
        <v>17</v>
      </c>
      <c r="K45">
        <f t="shared" si="1"/>
        <v>73</v>
      </c>
    </row>
    <row r="46" spans="1:11" ht="33" thickBot="1" x14ac:dyDescent="0.25">
      <c r="A46" s="15" t="s">
        <v>275</v>
      </c>
      <c r="B46" s="19" t="s">
        <v>110</v>
      </c>
      <c r="C46" s="19" t="s">
        <v>276</v>
      </c>
      <c r="D46" s="19" t="s">
        <v>42</v>
      </c>
      <c r="E46" s="17" t="s">
        <v>337</v>
      </c>
      <c r="F46">
        <v>0</v>
      </c>
      <c r="G46">
        <v>36</v>
      </c>
      <c r="H46">
        <v>0</v>
      </c>
      <c r="I46">
        <v>58</v>
      </c>
      <c r="J46">
        <f>Table1[[#This Row],[Start: Minute]]*60+Table1[[#This Row],[Start: Second]]</f>
        <v>36</v>
      </c>
      <c r="K46">
        <f t="shared" si="1"/>
        <v>58</v>
      </c>
    </row>
    <row r="47" spans="1:11" ht="33" thickBot="1" x14ac:dyDescent="0.25">
      <c r="A47" s="6" t="s">
        <v>314</v>
      </c>
      <c r="B47" s="7" t="s">
        <v>110</v>
      </c>
      <c r="C47" s="7" t="s">
        <v>315</v>
      </c>
      <c r="D47" s="7" t="s">
        <v>42</v>
      </c>
      <c r="E47" s="13" t="s">
        <v>355</v>
      </c>
      <c r="F47">
        <v>0</v>
      </c>
      <c r="G47">
        <v>34</v>
      </c>
      <c r="H47">
        <v>1</v>
      </c>
      <c r="I47">
        <v>8</v>
      </c>
      <c r="J47">
        <f>Table1[[#This Row],[Start: Minute]]*60+Table1[[#This Row],[Start: Second]]</f>
        <v>34</v>
      </c>
      <c r="K47">
        <f t="shared" si="1"/>
        <v>68</v>
      </c>
    </row>
    <row r="48" spans="1:11" ht="33" thickBot="1" x14ac:dyDescent="0.25">
      <c r="A48" s="4" t="s">
        <v>268</v>
      </c>
      <c r="B48" s="5" t="s">
        <v>507</v>
      </c>
      <c r="C48" s="5" t="s">
        <v>269</v>
      </c>
      <c r="D48" s="5" t="s">
        <v>42</v>
      </c>
      <c r="E48" s="12" t="s">
        <v>334</v>
      </c>
      <c r="F48">
        <v>0</v>
      </c>
      <c r="G48">
        <v>52</v>
      </c>
      <c r="H48">
        <v>1</v>
      </c>
      <c r="I48">
        <v>26</v>
      </c>
      <c r="J48">
        <f>Table1[[#This Row],[Start: Minute]]*60+Table1[[#This Row],[Start: Second]]</f>
        <v>52</v>
      </c>
      <c r="K48">
        <f t="shared" si="1"/>
        <v>86</v>
      </c>
    </row>
    <row r="49" spans="1:11" ht="33" thickBot="1" x14ac:dyDescent="0.25">
      <c r="A49" s="15" t="s">
        <v>219</v>
      </c>
      <c r="B49" s="19" t="s">
        <v>220</v>
      </c>
      <c r="C49" s="19" t="s">
        <v>508</v>
      </c>
      <c r="D49" s="19" t="s">
        <v>53</v>
      </c>
      <c r="E49" s="17" t="s">
        <v>351</v>
      </c>
      <c r="F49">
        <v>1</v>
      </c>
      <c r="G49">
        <v>4</v>
      </c>
      <c r="H49">
        <v>2</v>
      </c>
      <c r="I49">
        <v>19</v>
      </c>
      <c r="J49">
        <f>Table1[[#This Row],[Start: Minute]]*60+Table1[[#This Row],[Start: Second]]</f>
        <v>64</v>
      </c>
      <c r="K49">
        <f t="shared" si="1"/>
        <v>139</v>
      </c>
    </row>
    <row r="50" spans="1:11" ht="33" thickBot="1" x14ac:dyDescent="0.25">
      <c r="A50" s="15" t="s">
        <v>287</v>
      </c>
      <c r="B50" s="19" t="s">
        <v>288</v>
      </c>
      <c r="C50" s="19" t="s">
        <v>509</v>
      </c>
      <c r="D50" s="19" t="s">
        <v>42</v>
      </c>
      <c r="E50" s="17" t="s">
        <v>343</v>
      </c>
      <c r="F50">
        <v>0</v>
      </c>
      <c r="G50">
        <v>34</v>
      </c>
      <c r="H50">
        <v>1</v>
      </c>
      <c r="I50">
        <v>15</v>
      </c>
      <c r="J50">
        <f>Table1[[#This Row],[Start: Minute]]*60+Table1[[#This Row],[Start: Second]]</f>
        <v>34</v>
      </c>
      <c r="K50">
        <f t="shared" si="1"/>
        <v>75</v>
      </c>
    </row>
    <row r="51" spans="1:11" ht="33" thickBot="1" x14ac:dyDescent="0.25">
      <c r="A51" s="6" t="s">
        <v>105</v>
      </c>
      <c r="B51" s="7" t="s">
        <v>106</v>
      </c>
      <c r="C51" s="7" t="s">
        <v>107</v>
      </c>
      <c r="D51" s="7" t="s">
        <v>42</v>
      </c>
      <c r="E51" s="13" t="s">
        <v>341</v>
      </c>
      <c r="F51">
        <v>0</v>
      </c>
      <c r="G51">
        <v>40</v>
      </c>
      <c r="H51">
        <v>1</v>
      </c>
      <c r="I51">
        <v>14</v>
      </c>
      <c r="J51">
        <f>Table1[[#This Row],[Start: Minute]]*60+Table1[[#This Row],[Start: Second]]</f>
        <v>40</v>
      </c>
      <c r="K51">
        <f t="shared" si="1"/>
        <v>74</v>
      </c>
    </row>
    <row r="52" spans="1:11" ht="40" thickBot="1" x14ac:dyDescent="0.25">
      <c r="A52" s="15" t="s">
        <v>80</v>
      </c>
      <c r="B52" s="19" t="s">
        <v>81</v>
      </c>
      <c r="C52" s="19" t="s">
        <v>82</v>
      </c>
      <c r="D52" s="19" t="s">
        <v>83</v>
      </c>
      <c r="E52" s="17" t="s">
        <v>327</v>
      </c>
      <c r="F52">
        <v>0</v>
      </c>
      <c r="G52">
        <v>0</v>
      </c>
      <c r="H52">
        <v>1</v>
      </c>
      <c r="I52">
        <v>0</v>
      </c>
      <c r="J52">
        <f>Table1[[#This Row],[Start: Minute]]*60+Table1[[#This Row],[Start: Second]]</f>
        <v>0</v>
      </c>
      <c r="K52">
        <f t="shared" si="1"/>
        <v>60</v>
      </c>
    </row>
    <row r="53" spans="1:11" ht="33" thickBot="1" x14ac:dyDescent="0.25">
      <c r="A53" s="16" t="s">
        <v>233</v>
      </c>
      <c r="B53" s="20" t="s">
        <v>234</v>
      </c>
      <c r="C53" s="20" t="s">
        <v>235</v>
      </c>
      <c r="D53" s="20" t="s">
        <v>186</v>
      </c>
      <c r="E53" s="22" t="s">
        <v>358</v>
      </c>
      <c r="F53">
        <v>0</v>
      </c>
      <c r="G53">
        <v>27</v>
      </c>
      <c r="H53">
        <v>1</v>
      </c>
      <c r="I53">
        <v>1</v>
      </c>
      <c r="J53">
        <f>Table1[[#This Row],[Start: Minute]]*60+Table1[[#This Row],[Start: Second]]</f>
        <v>27</v>
      </c>
      <c r="K53">
        <f t="shared" si="1"/>
        <v>61</v>
      </c>
    </row>
    <row r="54" spans="1:11" ht="33" thickBot="1" x14ac:dyDescent="0.25">
      <c r="A54" s="4" t="s">
        <v>43</v>
      </c>
      <c r="B54" s="5" t="s">
        <v>44</v>
      </c>
      <c r="C54" s="5" t="s">
        <v>45</v>
      </c>
      <c r="D54" s="5" t="s">
        <v>46</v>
      </c>
      <c r="E54" s="12" t="s">
        <v>323</v>
      </c>
      <c r="F54">
        <v>0</v>
      </c>
      <c r="G54">
        <v>30</v>
      </c>
      <c r="H54">
        <v>1</v>
      </c>
      <c r="I54">
        <v>13</v>
      </c>
      <c r="J54">
        <f>Table1[[#This Row],[Start: Minute]]*60+Table1[[#This Row],[Start: Second]]</f>
        <v>30</v>
      </c>
      <c r="K54">
        <f t="shared" si="1"/>
        <v>73</v>
      </c>
    </row>
    <row r="55" spans="1:11" ht="33" thickBot="1" x14ac:dyDescent="0.25">
      <c r="A55" s="6" t="s">
        <v>117</v>
      </c>
      <c r="B55" s="5" t="s">
        <v>44</v>
      </c>
      <c r="C55" s="7" t="s">
        <v>118</v>
      </c>
      <c r="D55" s="7" t="s">
        <v>42</v>
      </c>
      <c r="E55" s="13" t="s">
        <v>347</v>
      </c>
      <c r="F55">
        <v>1</v>
      </c>
      <c r="G55">
        <v>20</v>
      </c>
      <c r="H55">
        <v>2</v>
      </c>
      <c r="I55">
        <v>8</v>
      </c>
      <c r="J55">
        <f>Table1[[#This Row],[Start: Minute]]*60+Table1[[#This Row],[Start: Second]]</f>
        <v>80</v>
      </c>
      <c r="K55">
        <f t="shared" si="1"/>
        <v>128</v>
      </c>
    </row>
    <row r="56" spans="1:11" ht="33" thickBot="1" x14ac:dyDescent="0.25">
      <c r="A56" s="4" t="s">
        <v>304</v>
      </c>
      <c r="B56" s="5" t="s">
        <v>305</v>
      </c>
      <c r="C56" s="5" t="s">
        <v>306</v>
      </c>
      <c r="D56" s="5" t="s">
        <v>307</v>
      </c>
      <c r="E56" s="12" t="s">
        <v>352</v>
      </c>
      <c r="F56">
        <v>1</v>
      </c>
      <c r="G56">
        <v>26</v>
      </c>
      <c r="H56">
        <v>2</v>
      </c>
      <c r="I56">
        <v>46</v>
      </c>
      <c r="J56">
        <f>Table1[[#This Row],[Start: Minute]]*60+Table1[[#This Row],[Start: Second]]</f>
        <v>86</v>
      </c>
      <c r="K56">
        <f t="shared" si="1"/>
        <v>166</v>
      </c>
    </row>
    <row r="57" spans="1:11" ht="33" thickBot="1" x14ac:dyDescent="0.25">
      <c r="A57" s="6" t="s">
        <v>54</v>
      </c>
      <c r="B57" s="7" t="s">
        <v>55</v>
      </c>
      <c r="C57" s="7" t="s">
        <v>56</v>
      </c>
      <c r="D57" s="7" t="s">
        <v>42</v>
      </c>
      <c r="E57" s="13" t="s">
        <v>326</v>
      </c>
      <c r="F57">
        <v>0</v>
      </c>
      <c r="G57">
        <v>45</v>
      </c>
      <c r="H57">
        <v>1</v>
      </c>
      <c r="I57">
        <v>28</v>
      </c>
      <c r="J57">
        <f>Table1[[#This Row],[Start: Minute]]*60+Table1[[#This Row],[Start: Second]]</f>
        <v>45</v>
      </c>
      <c r="K57">
        <f t="shared" si="1"/>
        <v>88</v>
      </c>
    </row>
    <row r="58" spans="1:11" ht="33" thickBot="1" x14ac:dyDescent="0.25">
      <c r="A58" s="15" t="s">
        <v>163</v>
      </c>
      <c r="B58" s="19" t="s">
        <v>55</v>
      </c>
      <c r="C58" s="19" t="s">
        <v>164</v>
      </c>
      <c r="D58" s="19" t="s">
        <v>53</v>
      </c>
      <c r="E58" s="17" t="s">
        <v>326</v>
      </c>
      <c r="F58">
        <v>1</v>
      </c>
      <c r="G58">
        <v>50</v>
      </c>
      <c r="H58">
        <v>3</v>
      </c>
      <c r="I58">
        <v>18</v>
      </c>
      <c r="J58">
        <f>Table1[[#This Row],[Start: Minute]]*60+Table1[[#This Row],[Start: Second]]</f>
        <v>110</v>
      </c>
      <c r="K58">
        <f t="shared" si="1"/>
        <v>198</v>
      </c>
    </row>
    <row r="59" spans="1:11" ht="33" thickBot="1" x14ac:dyDescent="0.25">
      <c r="A59" s="6" t="s">
        <v>270</v>
      </c>
      <c r="B59" s="7" t="s">
        <v>271</v>
      </c>
      <c r="C59" s="7" t="s">
        <v>272</v>
      </c>
      <c r="D59" s="7" t="s">
        <v>79</v>
      </c>
      <c r="E59" s="13" t="s">
        <v>335</v>
      </c>
      <c r="F59">
        <v>2</v>
      </c>
      <c r="G59">
        <v>10</v>
      </c>
      <c r="H59">
        <v>2</v>
      </c>
      <c r="I59">
        <v>52</v>
      </c>
      <c r="J59">
        <f>Table1[[#This Row],[Start: Minute]]*60+Table1[[#This Row],[Start: Second]]</f>
        <v>130</v>
      </c>
      <c r="K59">
        <f t="shared" si="1"/>
        <v>172</v>
      </c>
    </row>
    <row r="60" spans="1:11" ht="33" thickBot="1" x14ac:dyDescent="0.25">
      <c r="A60" s="4" t="s">
        <v>320</v>
      </c>
      <c r="B60" s="5" t="s">
        <v>271</v>
      </c>
      <c r="C60" s="5" t="s">
        <v>321</v>
      </c>
      <c r="D60" s="5" t="s">
        <v>53</v>
      </c>
      <c r="E60" s="12" t="s">
        <v>358</v>
      </c>
      <c r="F60">
        <v>2</v>
      </c>
      <c r="G60">
        <v>22</v>
      </c>
      <c r="H60">
        <v>2</v>
      </c>
      <c r="I60">
        <v>56</v>
      </c>
      <c r="J60">
        <f>Table1[[#This Row],[Start: Minute]]*60+Table1[[#This Row],[Start: Second]]</f>
        <v>142</v>
      </c>
      <c r="K60">
        <f t="shared" si="1"/>
        <v>176</v>
      </c>
    </row>
    <row r="61" spans="1:11" ht="33" thickBot="1" x14ac:dyDescent="0.25">
      <c r="A61" s="15" t="s">
        <v>214</v>
      </c>
      <c r="B61" s="19" t="s">
        <v>510</v>
      </c>
      <c r="C61" s="19" t="s">
        <v>215</v>
      </c>
      <c r="D61" s="19" t="s">
        <v>79</v>
      </c>
      <c r="E61" s="17" t="s">
        <v>349</v>
      </c>
      <c r="F61">
        <v>1</v>
      </c>
      <c r="G61">
        <v>43</v>
      </c>
      <c r="H61">
        <v>3</v>
      </c>
      <c r="I61">
        <v>20</v>
      </c>
      <c r="J61">
        <f>Table1[[#This Row],[Start: Minute]]*60+Table1[[#This Row],[Start: Second]]</f>
        <v>103</v>
      </c>
      <c r="K61">
        <f t="shared" si="1"/>
        <v>200</v>
      </c>
    </row>
    <row r="62" spans="1:11" ht="65" thickBot="1" x14ac:dyDescent="0.25">
      <c r="A62" s="16" t="s">
        <v>181</v>
      </c>
      <c r="B62" s="20" t="s">
        <v>182</v>
      </c>
      <c r="C62" s="20" t="s">
        <v>183</v>
      </c>
      <c r="D62" s="20" t="s">
        <v>79</v>
      </c>
      <c r="E62" s="22" t="s">
        <v>333</v>
      </c>
      <c r="F62">
        <v>1</v>
      </c>
      <c r="G62">
        <v>45</v>
      </c>
      <c r="H62">
        <v>3</v>
      </c>
      <c r="I62">
        <v>14</v>
      </c>
      <c r="J62">
        <f>Table1[[#This Row],[Start: Minute]]*60+Table1[[#This Row],[Start: Second]]</f>
        <v>105</v>
      </c>
      <c r="K62">
        <f t="shared" si="1"/>
        <v>194</v>
      </c>
    </row>
    <row r="63" spans="1:11" ht="33" thickBot="1" x14ac:dyDescent="0.25">
      <c r="A63" s="15" t="s">
        <v>228</v>
      </c>
      <c r="B63" s="19" t="s">
        <v>229</v>
      </c>
      <c r="C63" s="19" t="s">
        <v>230</v>
      </c>
      <c r="D63" s="19" t="s">
        <v>79</v>
      </c>
      <c r="E63" s="17" t="s">
        <v>355</v>
      </c>
      <c r="F63">
        <v>2</v>
      </c>
      <c r="G63">
        <v>16</v>
      </c>
      <c r="H63">
        <v>3</v>
      </c>
      <c r="I63">
        <v>1</v>
      </c>
      <c r="J63">
        <f>Table1[[#This Row],[Start: Minute]]*60+Table1[[#This Row],[Start: Second]]</f>
        <v>136</v>
      </c>
      <c r="K63">
        <f t="shared" si="1"/>
        <v>181</v>
      </c>
    </row>
    <row r="64" spans="1:11" ht="33" thickBot="1" x14ac:dyDescent="0.25">
      <c r="A64" s="6" t="s">
        <v>308</v>
      </c>
      <c r="B64" s="7" t="s">
        <v>309</v>
      </c>
      <c r="C64" s="7" t="s">
        <v>310</v>
      </c>
      <c r="D64" s="7" t="s">
        <v>79</v>
      </c>
      <c r="E64" s="13" t="s">
        <v>353</v>
      </c>
      <c r="F64">
        <v>2</v>
      </c>
      <c r="G64">
        <v>0</v>
      </c>
      <c r="H64">
        <v>3</v>
      </c>
      <c r="I64">
        <v>0</v>
      </c>
      <c r="J64">
        <f>Table1[[#This Row],[Start: Minute]]*60+Table1[[#This Row],[Start: Second]]</f>
        <v>120</v>
      </c>
      <c r="K64">
        <f t="shared" si="1"/>
        <v>180</v>
      </c>
    </row>
    <row r="65" spans="1:11" ht="33" thickBot="1" x14ac:dyDescent="0.25">
      <c r="A65" s="4" t="s">
        <v>202</v>
      </c>
      <c r="B65" s="5" t="s">
        <v>203</v>
      </c>
      <c r="C65" s="5" t="s">
        <v>204</v>
      </c>
      <c r="D65" s="5" t="s">
        <v>42</v>
      </c>
      <c r="E65" s="12" t="s">
        <v>342</v>
      </c>
      <c r="F65">
        <v>0</v>
      </c>
      <c r="G65">
        <v>59</v>
      </c>
      <c r="H65">
        <v>1</v>
      </c>
      <c r="I65">
        <v>23</v>
      </c>
      <c r="J65">
        <f>Table1[[#This Row],[Start: Minute]]*60+Table1[[#This Row],[Start: Second]]</f>
        <v>59</v>
      </c>
      <c r="K65">
        <f t="shared" si="1"/>
        <v>83</v>
      </c>
    </row>
    <row r="66" spans="1:11" ht="33" thickBot="1" x14ac:dyDescent="0.25">
      <c r="A66" s="6" t="s">
        <v>87</v>
      </c>
      <c r="B66" s="7" t="s">
        <v>88</v>
      </c>
      <c r="C66" s="7" t="s">
        <v>89</v>
      </c>
      <c r="D66" s="7" t="s">
        <v>79</v>
      </c>
      <c r="E66" s="13" t="s">
        <v>335</v>
      </c>
      <c r="F66">
        <v>2</v>
      </c>
      <c r="G66">
        <v>10</v>
      </c>
      <c r="H66">
        <v>2</v>
      </c>
      <c r="I66">
        <v>51</v>
      </c>
      <c r="J66">
        <f>Table1[[#This Row],[Start: Minute]]*60+Table1[[#This Row],[Start: Second]]</f>
        <v>130</v>
      </c>
      <c r="K66">
        <f t="shared" ref="K66:K97" si="2">H66*60+I66</f>
        <v>171</v>
      </c>
    </row>
    <row r="67" spans="1:11" ht="33" thickBot="1" x14ac:dyDescent="0.25">
      <c r="A67" s="4" t="s">
        <v>137</v>
      </c>
      <c r="B67" s="5" t="s">
        <v>88</v>
      </c>
      <c r="C67" s="5" t="s">
        <v>138</v>
      </c>
      <c r="D67" s="5" t="s">
        <v>53</v>
      </c>
      <c r="E67" s="12" t="s">
        <v>354</v>
      </c>
      <c r="F67">
        <v>1</v>
      </c>
      <c r="G67">
        <v>35</v>
      </c>
      <c r="H67">
        <v>2</v>
      </c>
      <c r="I67">
        <v>40</v>
      </c>
      <c r="J67">
        <f>Table1[[#This Row],[Start: Minute]]*60+Table1[[#This Row],[Start: Second]]</f>
        <v>95</v>
      </c>
      <c r="K67">
        <f t="shared" si="2"/>
        <v>160</v>
      </c>
    </row>
    <row r="68" spans="1:11" ht="33" thickBot="1" x14ac:dyDescent="0.25">
      <c r="A68" s="10" t="s">
        <v>281</v>
      </c>
      <c r="B68" s="9" t="s">
        <v>282</v>
      </c>
      <c r="C68" s="9" t="s">
        <v>283</v>
      </c>
      <c r="D68" s="9" t="s">
        <v>79</v>
      </c>
      <c r="E68" s="8" t="s">
        <v>341</v>
      </c>
      <c r="F68">
        <v>2</v>
      </c>
      <c r="G68">
        <v>24</v>
      </c>
      <c r="H68">
        <v>3</v>
      </c>
      <c r="I68">
        <v>4</v>
      </c>
      <c r="J68">
        <f>Table1[[#This Row],[Start: Minute]]*60+Table1[[#This Row],[Start: Second]]</f>
        <v>144</v>
      </c>
      <c r="K68">
        <f t="shared" si="2"/>
        <v>184</v>
      </c>
    </row>
    <row r="69" spans="1:11" ht="33" thickBot="1" x14ac:dyDescent="0.25">
      <c r="A69" s="2" t="s">
        <v>73</v>
      </c>
      <c r="B69" s="3" t="s">
        <v>74</v>
      </c>
      <c r="C69" s="3" t="s">
        <v>75</v>
      </c>
      <c r="D69" s="3" t="s">
        <v>42</v>
      </c>
      <c r="E69" s="11" t="s">
        <v>332</v>
      </c>
      <c r="F69">
        <v>0</v>
      </c>
      <c r="G69">
        <v>45</v>
      </c>
      <c r="H69">
        <v>1</v>
      </c>
      <c r="I69">
        <v>13</v>
      </c>
      <c r="J69">
        <f>Table1[[#This Row],[Start: Minute]]*60+Table1[[#This Row],[Start: Second]]</f>
        <v>45</v>
      </c>
      <c r="K69">
        <f t="shared" si="2"/>
        <v>73</v>
      </c>
    </row>
    <row r="70" spans="1:11" ht="33" thickBot="1" x14ac:dyDescent="0.25">
      <c r="A70" s="15" t="s">
        <v>179</v>
      </c>
      <c r="B70" s="19" t="s">
        <v>74</v>
      </c>
      <c r="C70" s="19" t="s">
        <v>180</v>
      </c>
      <c r="D70" s="19" t="s">
        <v>42</v>
      </c>
      <c r="E70" s="17" t="s">
        <v>332</v>
      </c>
      <c r="F70">
        <v>0</v>
      </c>
      <c r="G70">
        <v>47</v>
      </c>
      <c r="H70">
        <v>1</v>
      </c>
      <c r="I70">
        <v>8</v>
      </c>
      <c r="J70">
        <f>Table1[[#This Row],[Start: Minute]]*60+Table1[[#This Row],[Start: Second]]</f>
        <v>47</v>
      </c>
      <c r="K70">
        <f t="shared" si="2"/>
        <v>68</v>
      </c>
    </row>
    <row r="71" spans="1:11" ht="33" thickBot="1" x14ac:dyDescent="0.25">
      <c r="A71" s="16" t="s">
        <v>141</v>
      </c>
      <c r="B71" s="20" t="s">
        <v>142</v>
      </c>
      <c r="C71" s="20" t="s">
        <v>143</v>
      </c>
      <c r="D71" s="20" t="s">
        <v>79</v>
      </c>
      <c r="E71" s="22" t="s">
        <v>356</v>
      </c>
      <c r="F71">
        <v>2</v>
      </c>
      <c r="G71">
        <v>2</v>
      </c>
      <c r="H71">
        <v>3</v>
      </c>
      <c r="I71">
        <v>13</v>
      </c>
      <c r="J71">
        <f>Table1[[#This Row],[Start: Minute]]*60+Table1[[#This Row],[Start: Second]]</f>
        <v>122</v>
      </c>
      <c r="K71">
        <f t="shared" si="2"/>
        <v>193</v>
      </c>
    </row>
    <row r="72" spans="1:11" ht="33" thickBot="1" x14ac:dyDescent="0.25">
      <c r="A72" s="4" t="s">
        <v>102</v>
      </c>
      <c r="B72" s="5" t="s">
        <v>103</v>
      </c>
      <c r="C72" s="5" t="s">
        <v>104</v>
      </c>
      <c r="D72" s="5" t="s">
        <v>42</v>
      </c>
      <c r="E72" s="12" t="s">
        <v>340</v>
      </c>
      <c r="F72">
        <v>0</v>
      </c>
      <c r="G72">
        <v>55</v>
      </c>
      <c r="H72">
        <v>1</v>
      </c>
      <c r="I72">
        <v>22</v>
      </c>
      <c r="J72">
        <f>Table1[[#This Row],[Start: Minute]]*60+Table1[[#This Row],[Start: Second]]</f>
        <v>55</v>
      </c>
      <c r="K72">
        <f t="shared" si="2"/>
        <v>82</v>
      </c>
    </row>
    <row r="73" spans="1:11" ht="33" thickBot="1" x14ac:dyDescent="0.25">
      <c r="A73" s="15" t="s">
        <v>184</v>
      </c>
      <c r="B73" s="19" t="s">
        <v>103</v>
      </c>
      <c r="C73" s="19" t="s">
        <v>136</v>
      </c>
      <c r="D73" s="19" t="s">
        <v>46</v>
      </c>
      <c r="E73" s="17" t="s">
        <v>327</v>
      </c>
      <c r="F73">
        <v>0</v>
      </c>
      <c r="G73">
        <v>54</v>
      </c>
      <c r="H73">
        <v>1</v>
      </c>
      <c r="I73">
        <v>35</v>
      </c>
      <c r="J73">
        <f>Table1[[#This Row],[Start: Minute]]*60+Table1[[#This Row],[Start: Second]]</f>
        <v>54</v>
      </c>
      <c r="K73">
        <f t="shared" si="2"/>
        <v>95</v>
      </c>
    </row>
    <row r="74" spans="1:11" ht="33" thickBot="1" x14ac:dyDescent="0.25">
      <c r="A74" s="6" t="s">
        <v>248</v>
      </c>
      <c r="B74" s="7" t="s">
        <v>249</v>
      </c>
      <c r="C74" s="7" t="s">
        <v>136</v>
      </c>
      <c r="D74" s="7" t="s">
        <v>53</v>
      </c>
      <c r="E74" s="13" t="s">
        <v>326</v>
      </c>
      <c r="F74">
        <v>1</v>
      </c>
      <c r="G74">
        <v>40</v>
      </c>
      <c r="H74">
        <v>2</v>
      </c>
      <c r="I74">
        <v>56</v>
      </c>
      <c r="J74">
        <f>Table1[[#This Row],[Start: Minute]]*60+Table1[[#This Row],[Start: Second]]</f>
        <v>100</v>
      </c>
      <c r="K74">
        <f t="shared" si="2"/>
        <v>176</v>
      </c>
    </row>
    <row r="75" spans="1:11" ht="33" thickBot="1" x14ac:dyDescent="0.25">
      <c r="A75" s="15" t="s">
        <v>158</v>
      </c>
      <c r="B75" s="19" t="s">
        <v>361</v>
      </c>
      <c r="C75" s="19" t="s">
        <v>159</v>
      </c>
      <c r="D75" s="19" t="s">
        <v>46</v>
      </c>
      <c r="E75" s="17" t="s">
        <v>324</v>
      </c>
      <c r="F75">
        <v>0</v>
      </c>
      <c r="G75">
        <v>0</v>
      </c>
      <c r="H75">
        <v>0</v>
      </c>
      <c r="I75">
        <v>55</v>
      </c>
      <c r="J75">
        <f>Table1[[#This Row],[Start: Minute]]*60+Table1[[#This Row],[Start: Second]]</f>
        <v>0</v>
      </c>
      <c r="K75">
        <f t="shared" si="2"/>
        <v>55</v>
      </c>
    </row>
    <row r="76" spans="1:11" ht="33" thickBot="1" x14ac:dyDescent="0.25">
      <c r="A76" s="6" t="s">
        <v>189</v>
      </c>
      <c r="B76" s="7" t="s">
        <v>190</v>
      </c>
      <c r="C76" s="7" t="s">
        <v>191</v>
      </c>
      <c r="D76" s="7" t="s">
        <v>42</v>
      </c>
      <c r="E76" s="13" t="s">
        <v>337</v>
      </c>
      <c r="F76">
        <v>0</v>
      </c>
      <c r="G76">
        <v>46</v>
      </c>
      <c r="H76">
        <v>1</v>
      </c>
      <c r="I76">
        <v>13</v>
      </c>
      <c r="J76">
        <f>Table1[[#This Row],[Start: Minute]]*60+Table1[[#This Row],[Start: Second]]</f>
        <v>46</v>
      </c>
      <c r="K76">
        <f t="shared" si="2"/>
        <v>73</v>
      </c>
    </row>
    <row r="77" spans="1:11" ht="33" thickBot="1" x14ac:dyDescent="0.25">
      <c r="A77" s="15" t="s">
        <v>153</v>
      </c>
      <c r="B77" s="19" t="s">
        <v>154</v>
      </c>
      <c r="C77" s="19" t="s">
        <v>155</v>
      </c>
      <c r="D77" s="19" t="s">
        <v>42</v>
      </c>
      <c r="E77" s="17" t="s">
        <v>322</v>
      </c>
      <c r="F77">
        <v>0</v>
      </c>
      <c r="G77">
        <v>40</v>
      </c>
      <c r="H77">
        <v>1</v>
      </c>
      <c r="I77">
        <v>12</v>
      </c>
      <c r="J77">
        <f>Table1[[#This Row],[Start: Minute]]*60+Table1[[#This Row],[Start: Second]]</f>
        <v>40</v>
      </c>
      <c r="K77">
        <f t="shared" si="2"/>
        <v>72</v>
      </c>
    </row>
    <row r="78" spans="1:11" ht="33" thickBot="1" x14ac:dyDescent="0.25">
      <c r="A78" s="6" t="s">
        <v>237</v>
      </c>
      <c r="B78" s="7" t="s">
        <v>154</v>
      </c>
      <c r="C78" s="7" t="s">
        <v>238</v>
      </c>
      <c r="D78" s="7" t="s">
        <v>42</v>
      </c>
      <c r="E78" s="13" t="s">
        <v>322</v>
      </c>
      <c r="F78">
        <v>1</v>
      </c>
      <c r="G78">
        <v>0</v>
      </c>
      <c r="H78">
        <v>1</v>
      </c>
      <c r="I78">
        <v>29</v>
      </c>
      <c r="J78">
        <f>Table1[[#This Row],[Start: Minute]]*60+Table1[[#This Row],[Start: Second]]</f>
        <v>60</v>
      </c>
      <c r="K78">
        <f t="shared" si="2"/>
        <v>89</v>
      </c>
    </row>
    <row r="79" spans="1:11" ht="33" thickBot="1" x14ac:dyDescent="0.25">
      <c r="A79" s="4" t="s">
        <v>125</v>
      </c>
      <c r="B79" s="5" t="s">
        <v>126</v>
      </c>
      <c r="C79" s="5" t="s">
        <v>127</v>
      </c>
      <c r="D79" s="5" t="s">
        <v>42</v>
      </c>
      <c r="E79" s="12" t="s">
        <v>350</v>
      </c>
      <c r="F79">
        <v>0</v>
      </c>
      <c r="G79">
        <v>30</v>
      </c>
      <c r="H79">
        <v>1</v>
      </c>
      <c r="I79">
        <v>7</v>
      </c>
      <c r="J79">
        <f>Table1[[#This Row],[Start: Minute]]*60+Table1[[#This Row],[Start: Second]]</f>
        <v>30</v>
      </c>
      <c r="K79">
        <f t="shared" si="2"/>
        <v>67</v>
      </c>
    </row>
    <row r="80" spans="1:11" ht="33" thickBot="1" x14ac:dyDescent="0.25">
      <c r="A80" s="16" t="s">
        <v>147</v>
      </c>
      <c r="B80" s="20" t="s">
        <v>148</v>
      </c>
      <c r="C80" s="20" t="s">
        <v>149</v>
      </c>
      <c r="D80" s="20" t="s">
        <v>150</v>
      </c>
      <c r="E80" s="22" t="s">
        <v>358</v>
      </c>
      <c r="F80">
        <v>1</v>
      </c>
      <c r="G80">
        <v>47</v>
      </c>
      <c r="H80">
        <v>2</v>
      </c>
      <c r="I80">
        <v>40</v>
      </c>
      <c r="J80">
        <f>Table1[[#This Row],[Start: Minute]]*60+Table1[[#This Row],[Start: Second]]</f>
        <v>107</v>
      </c>
      <c r="K80">
        <f t="shared" si="2"/>
        <v>160</v>
      </c>
    </row>
    <row r="81" spans="1:11" ht="33" thickBot="1" x14ac:dyDescent="0.25">
      <c r="A81" s="4" t="s">
        <v>176</v>
      </c>
      <c r="B81" s="5" t="s">
        <v>177</v>
      </c>
      <c r="C81" s="5" t="s">
        <v>511</v>
      </c>
      <c r="D81" s="5" t="s">
        <v>178</v>
      </c>
      <c r="E81" s="12" t="s">
        <v>331</v>
      </c>
      <c r="F81">
        <v>2</v>
      </c>
      <c r="G81">
        <v>0</v>
      </c>
      <c r="H81">
        <v>2</v>
      </c>
      <c r="I81">
        <v>38</v>
      </c>
      <c r="J81">
        <f>Table1[[#This Row],[Start: Minute]]*60+Table1[[#This Row],[Start: Second]]</f>
        <v>120</v>
      </c>
      <c r="K81">
        <f t="shared" si="2"/>
        <v>158</v>
      </c>
    </row>
    <row r="82" spans="1:11" ht="33" thickBot="1" x14ac:dyDescent="0.25">
      <c r="A82" s="16" t="s">
        <v>250</v>
      </c>
      <c r="B82" s="20" t="s">
        <v>177</v>
      </c>
      <c r="C82" s="20" t="s">
        <v>251</v>
      </c>
      <c r="D82" s="20" t="s">
        <v>42</v>
      </c>
      <c r="E82" s="22" t="s">
        <v>327</v>
      </c>
      <c r="F82">
        <v>0</v>
      </c>
      <c r="G82">
        <v>42</v>
      </c>
      <c r="H82">
        <v>1</v>
      </c>
      <c r="I82">
        <v>15</v>
      </c>
      <c r="J82">
        <f>Table1[[#This Row],[Start: Minute]]*60+Table1[[#This Row],[Start: Second]]</f>
        <v>42</v>
      </c>
      <c r="K82">
        <f t="shared" si="2"/>
        <v>75</v>
      </c>
    </row>
    <row r="83" spans="1:11" ht="33" thickBot="1" x14ac:dyDescent="0.25">
      <c r="A83" s="4" t="s">
        <v>258</v>
      </c>
      <c r="B83" s="5" t="s">
        <v>177</v>
      </c>
      <c r="C83" s="5" t="s">
        <v>259</v>
      </c>
      <c r="D83" s="5" t="s">
        <v>42</v>
      </c>
      <c r="E83" s="12" t="s">
        <v>331</v>
      </c>
      <c r="F83">
        <v>0</v>
      </c>
      <c r="G83">
        <v>37</v>
      </c>
      <c r="H83">
        <v>1</v>
      </c>
      <c r="I83">
        <v>5</v>
      </c>
      <c r="J83">
        <f>Table1[[#This Row],[Start: Minute]]*60+Table1[[#This Row],[Start: Second]]</f>
        <v>37</v>
      </c>
      <c r="K83">
        <f t="shared" si="2"/>
        <v>65</v>
      </c>
    </row>
    <row r="84" spans="1:11" ht="33" thickBot="1" x14ac:dyDescent="0.25">
      <c r="A84" s="6" t="s">
        <v>47</v>
      </c>
      <c r="B84" s="7" t="s">
        <v>48</v>
      </c>
      <c r="C84" s="7" t="s">
        <v>49</v>
      </c>
      <c r="D84" s="7" t="s">
        <v>42</v>
      </c>
      <c r="E84" s="13" t="s">
        <v>324</v>
      </c>
      <c r="F84">
        <v>1</v>
      </c>
      <c r="G84">
        <v>27</v>
      </c>
      <c r="H84">
        <v>2</v>
      </c>
      <c r="I84">
        <v>6</v>
      </c>
      <c r="J84">
        <f>Table1[[#This Row],[Start: Minute]]*60+Table1[[#This Row],[Start: Second]]</f>
        <v>87</v>
      </c>
      <c r="K84">
        <f t="shared" si="2"/>
        <v>126</v>
      </c>
    </row>
    <row r="85" spans="1:11" ht="33" thickBot="1" x14ac:dyDescent="0.25">
      <c r="A85" s="4" t="s">
        <v>165</v>
      </c>
      <c r="B85" s="5" t="s">
        <v>166</v>
      </c>
      <c r="C85" s="5" t="s">
        <v>167</v>
      </c>
      <c r="D85" s="5" t="s">
        <v>42</v>
      </c>
      <c r="E85" s="12" t="s">
        <v>327</v>
      </c>
      <c r="F85">
        <v>0</v>
      </c>
      <c r="G85">
        <v>48</v>
      </c>
      <c r="H85">
        <v>1</v>
      </c>
      <c r="I85">
        <v>29</v>
      </c>
      <c r="J85">
        <f>Table1[[#This Row],[Start: Minute]]*60+Table1[[#This Row],[Start: Second]]</f>
        <v>48</v>
      </c>
      <c r="K85">
        <f t="shared" si="2"/>
        <v>89</v>
      </c>
    </row>
    <row r="86" spans="1:11" ht="33" thickBot="1" x14ac:dyDescent="0.25">
      <c r="A86" s="16" t="s">
        <v>293</v>
      </c>
      <c r="B86" s="20" t="s">
        <v>294</v>
      </c>
      <c r="C86" s="20" t="s">
        <v>295</v>
      </c>
      <c r="D86" s="20" t="s">
        <v>46</v>
      </c>
      <c r="E86" s="22" t="s">
        <v>346</v>
      </c>
      <c r="F86">
        <v>0</v>
      </c>
      <c r="G86">
        <v>46</v>
      </c>
      <c r="H86">
        <v>1</v>
      </c>
      <c r="I86">
        <v>27</v>
      </c>
      <c r="J86">
        <f>Table1[[#This Row],[Start: Minute]]*60+Table1[[#This Row],[Start: Second]]</f>
        <v>46</v>
      </c>
      <c r="K86">
        <f t="shared" si="2"/>
        <v>87</v>
      </c>
    </row>
    <row r="87" spans="1:11" ht="65" thickBot="1" x14ac:dyDescent="0.25">
      <c r="A87" s="4" t="s">
        <v>263</v>
      </c>
      <c r="B87" s="5" t="s">
        <v>264</v>
      </c>
      <c r="C87" s="5" t="s">
        <v>265</v>
      </c>
      <c r="D87" s="5" t="s">
        <v>79</v>
      </c>
      <c r="E87" s="12" t="s">
        <v>333</v>
      </c>
      <c r="F87">
        <v>1</v>
      </c>
      <c r="G87">
        <v>40</v>
      </c>
      <c r="H87">
        <v>2</v>
      </c>
      <c r="I87">
        <v>5</v>
      </c>
      <c r="J87">
        <f>Table1[[#This Row],[Start: Minute]]*60+Table1[[#This Row],[Start: Second]]</f>
        <v>100</v>
      </c>
      <c r="K87">
        <f t="shared" si="2"/>
        <v>125</v>
      </c>
    </row>
    <row r="88" spans="1:11" ht="33" thickBot="1" x14ac:dyDescent="0.25">
      <c r="A88" s="16" t="s">
        <v>205</v>
      </c>
      <c r="B88" s="20" t="s">
        <v>206</v>
      </c>
      <c r="C88" s="20" t="s">
        <v>207</v>
      </c>
      <c r="D88" s="20" t="s">
        <v>46</v>
      </c>
      <c r="E88" s="22" t="s">
        <v>344</v>
      </c>
      <c r="F88">
        <v>0</v>
      </c>
      <c r="G88">
        <v>45</v>
      </c>
      <c r="H88">
        <v>1</v>
      </c>
      <c r="I88">
        <v>12</v>
      </c>
      <c r="J88">
        <f>Table1[[#This Row],[Start: Minute]]*60+Table1[[#This Row],[Start: Second]]</f>
        <v>45</v>
      </c>
      <c r="K88">
        <f t="shared" si="2"/>
        <v>72</v>
      </c>
    </row>
    <row r="89" spans="1:11" ht="33" thickBot="1" x14ac:dyDescent="0.25">
      <c r="A89" s="15" t="s">
        <v>174</v>
      </c>
      <c r="B89" s="19" t="s">
        <v>175</v>
      </c>
      <c r="C89" s="19" t="s">
        <v>175</v>
      </c>
      <c r="D89" s="19" t="s">
        <v>42</v>
      </c>
      <c r="E89" s="17" t="s">
        <v>330</v>
      </c>
      <c r="F89">
        <v>0</v>
      </c>
      <c r="G89">
        <v>37</v>
      </c>
      <c r="H89">
        <v>1</v>
      </c>
      <c r="I89">
        <v>13</v>
      </c>
      <c r="J89">
        <f>Table1[[#This Row],[Start: Minute]]*60+Table1[[#This Row],[Start: Second]]</f>
        <v>37</v>
      </c>
      <c r="K89">
        <f t="shared" si="2"/>
        <v>73</v>
      </c>
    </row>
    <row r="90" spans="1:11" ht="33" thickBot="1" x14ac:dyDescent="0.25">
      <c r="A90" s="16" t="s">
        <v>171</v>
      </c>
      <c r="B90" s="20" t="s">
        <v>172</v>
      </c>
      <c r="C90" s="20" t="s">
        <v>173</v>
      </c>
      <c r="D90" s="20" t="s">
        <v>42</v>
      </c>
      <c r="E90" s="22" t="s">
        <v>329</v>
      </c>
      <c r="F90">
        <v>0</v>
      </c>
      <c r="G90">
        <v>56</v>
      </c>
      <c r="H90">
        <v>1</v>
      </c>
      <c r="I90">
        <v>13</v>
      </c>
      <c r="J90">
        <f>Table1[[#This Row],[Start: Minute]]*60+Table1[[#This Row],[Start: Second]]</f>
        <v>56</v>
      </c>
      <c r="K90">
        <f t="shared" si="2"/>
        <v>73</v>
      </c>
    </row>
    <row r="91" spans="1:11" ht="33" thickBot="1" x14ac:dyDescent="0.25">
      <c r="A91" s="4" t="s">
        <v>255</v>
      </c>
      <c r="B91" s="5" t="s">
        <v>256</v>
      </c>
      <c r="C91" s="5" t="s">
        <v>257</v>
      </c>
      <c r="D91" s="5" t="s">
        <v>42</v>
      </c>
      <c r="E91" s="12" t="s">
        <v>329</v>
      </c>
      <c r="F91">
        <v>1</v>
      </c>
      <c r="G91">
        <v>0</v>
      </c>
      <c r="H91">
        <v>1</v>
      </c>
      <c r="I91">
        <v>28</v>
      </c>
      <c r="J91">
        <f>Table1[[#This Row],[Start: Minute]]*60+Table1[[#This Row],[Start: Second]]</f>
        <v>60</v>
      </c>
      <c r="K91">
        <f t="shared" si="2"/>
        <v>88</v>
      </c>
    </row>
    <row r="92" spans="1:11" ht="33" thickBot="1" x14ac:dyDescent="0.25">
      <c r="A92" s="6" t="s">
        <v>39</v>
      </c>
      <c r="B92" s="7" t="s">
        <v>40</v>
      </c>
      <c r="C92" s="7" t="s">
        <v>41</v>
      </c>
      <c r="D92" s="7" t="s">
        <v>42</v>
      </c>
      <c r="E92" s="13" t="s">
        <v>322</v>
      </c>
      <c r="F92">
        <v>0</v>
      </c>
      <c r="G92">
        <v>45</v>
      </c>
      <c r="H92">
        <v>1</v>
      </c>
      <c r="I92">
        <v>20</v>
      </c>
      <c r="J92">
        <f>Table1[[#This Row],[Start: Minute]]*60+Table1[[#This Row],[Start: Second]]</f>
        <v>45</v>
      </c>
      <c r="K92">
        <f t="shared" si="2"/>
        <v>80</v>
      </c>
    </row>
    <row r="93" spans="1:11" ht="33" thickBot="1" x14ac:dyDescent="0.25">
      <c r="A93" s="4" t="s">
        <v>239</v>
      </c>
      <c r="B93" s="5" t="s">
        <v>240</v>
      </c>
      <c r="C93" s="5" t="s">
        <v>241</v>
      </c>
      <c r="D93" s="5" t="s">
        <v>42</v>
      </c>
      <c r="E93" s="12" t="s">
        <v>323</v>
      </c>
      <c r="F93">
        <v>0</v>
      </c>
      <c r="G93">
        <v>33</v>
      </c>
      <c r="H93">
        <v>1</v>
      </c>
      <c r="I93">
        <v>8</v>
      </c>
      <c r="J93">
        <f>Table1[[#This Row],[Start: Minute]]*60+Table1[[#This Row],[Start: Second]]</f>
        <v>33</v>
      </c>
      <c r="K93">
        <f t="shared" si="2"/>
        <v>68</v>
      </c>
    </row>
    <row r="94" spans="1:11" ht="33" thickBot="1" x14ac:dyDescent="0.25">
      <c r="A94" s="6" t="s">
        <v>122</v>
      </c>
      <c r="B94" s="7" t="s">
        <v>123</v>
      </c>
      <c r="C94" s="7" t="s">
        <v>124</v>
      </c>
      <c r="D94" s="7" t="s">
        <v>79</v>
      </c>
      <c r="E94" s="13" t="s">
        <v>349</v>
      </c>
      <c r="F94">
        <v>1</v>
      </c>
      <c r="G94">
        <v>33</v>
      </c>
      <c r="H94">
        <v>2</v>
      </c>
      <c r="I94">
        <v>30</v>
      </c>
      <c r="J94">
        <f>Table1[[#This Row],[Start: Minute]]*60+Table1[[#This Row],[Start: Second]]</f>
        <v>93</v>
      </c>
      <c r="K94">
        <f t="shared" si="2"/>
        <v>150</v>
      </c>
    </row>
    <row r="95" spans="1:11" ht="33" thickBot="1" x14ac:dyDescent="0.25">
      <c r="A95" s="4" t="s">
        <v>197</v>
      </c>
      <c r="B95" s="5" t="s">
        <v>198</v>
      </c>
      <c r="C95" s="5" t="s">
        <v>199</v>
      </c>
      <c r="D95" s="5" t="s">
        <v>42</v>
      </c>
      <c r="E95" s="12" t="s">
        <v>340</v>
      </c>
      <c r="F95">
        <v>0</v>
      </c>
      <c r="G95">
        <v>23</v>
      </c>
      <c r="H95">
        <v>1</v>
      </c>
      <c r="I95">
        <v>4</v>
      </c>
      <c r="J95">
        <f>Table1[[#This Row],[Start: Minute]]*60+Table1[[#This Row],[Start: Second]]</f>
        <v>23</v>
      </c>
      <c r="K95">
        <f t="shared" si="2"/>
        <v>64</v>
      </c>
    </row>
    <row r="96" spans="1:11" ht="33" thickBot="1" x14ac:dyDescent="0.25">
      <c r="A96" s="16" t="s">
        <v>50</v>
      </c>
      <c r="B96" s="20" t="s">
        <v>51</v>
      </c>
      <c r="C96" s="20" t="s">
        <v>52</v>
      </c>
      <c r="D96" s="20" t="s">
        <v>53</v>
      </c>
      <c r="E96" s="22" t="s">
        <v>325</v>
      </c>
      <c r="F96">
        <v>1</v>
      </c>
      <c r="G96">
        <v>50</v>
      </c>
      <c r="H96">
        <v>3</v>
      </c>
      <c r="I96">
        <v>24</v>
      </c>
      <c r="J96">
        <f>Table1[[#This Row],[Start: Minute]]*60+Table1[[#This Row],[Start: Second]]</f>
        <v>110</v>
      </c>
      <c r="K96">
        <f t="shared" si="2"/>
        <v>204</v>
      </c>
    </row>
    <row r="97" spans="1:11" ht="49" thickBot="1" x14ac:dyDescent="0.25">
      <c r="A97" s="16" t="s">
        <v>84</v>
      </c>
      <c r="B97" s="20" t="s">
        <v>85</v>
      </c>
      <c r="C97" s="20" t="s">
        <v>86</v>
      </c>
      <c r="D97" s="20" t="s">
        <v>42</v>
      </c>
      <c r="E97" s="22" t="s">
        <v>334</v>
      </c>
      <c r="F97">
        <v>0</v>
      </c>
      <c r="G97">
        <v>28</v>
      </c>
      <c r="H97">
        <v>1</v>
      </c>
      <c r="I97">
        <v>27</v>
      </c>
      <c r="J97">
        <f>Table1[[#This Row],[Start: Minute]]*60+Table1[[#This Row],[Start: Second]]</f>
        <v>28</v>
      </c>
      <c r="K97">
        <f t="shared" si="2"/>
        <v>87</v>
      </c>
    </row>
    <row r="98" spans="1:11" ht="33" thickBot="1" x14ac:dyDescent="0.25">
      <c r="A98" s="4" t="s">
        <v>119</v>
      </c>
      <c r="B98" s="5" t="s">
        <v>120</v>
      </c>
      <c r="C98" s="5" t="s">
        <v>121</v>
      </c>
      <c r="D98" s="5" t="s">
        <v>79</v>
      </c>
      <c r="E98" s="12" t="s">
        <v>348</v>
      </c>
      <c r="F98">
        <v>1</v>
      </c>
      <c r="G98">
        <v>37</v>
      </c>
      <c r="H98">
        <v>2</v>
      </c>
      <c r="I98">
        <v>30</v>
      </c>
      <c r="J98">
        <f>Table1[[#This Row],[Start: Minute]]*60+Table1[[#This Row],[Start: Second]]</f>
        <v>97</v>
      </c>
      <c r="K98">
        <f t="shared" ref="K98:K103" si="3">H98*60+I98</f>
        <v>150</v>
      </c>
    </row>
    <row r="99" spans="1:11" ht="33" thickBot="1" x14ac:dyDescent="0.25">
      <c r="A99" s="16" t="s">
        <v>185</v>
      </c>
      <c r="B99" s="20" t="s">
        <v>85</v>
      </c>
      <c r="C99" s="20" t="s">
        <v>121</v>
      </c>
      <c r="D99" s="20" t="s">
        <v>186</v>
      </c>
      <c r="E99" s="22" t="s">
        <v>334</v>
      </c>
      <c r="F99">
        <v>0</v>
      </c>
      <c r="G99">
        <v>0</v>
      </c>
      <c r="H99">
        <v>1</v>
      </c>
      <c r="I99">
        <v>5</v>
      </c>
      <c r="J99">
        <f>Table1[[#This Row],[Start: Minute]]*60+Table1[[#This Row],[Start: Second]]</f>
        <v>0</v>
      </c>
      <c r="K99">
        <f t="shared" si="3"/>
        <v>65</v>
      </c>
    </row>
    <row r="100" spans="1:11" ht="33" thickBot="1" x14ac:dyDescent="0.25">
      <c r="A100" s="4" t="s">
        <v>187</v>
      </c>
      <c r="B100" s="5" t="s">
        <v>85</v>
      </c>
      <c r="C100" s="5" t="s">
        <v>188</v>
      </c>
      <c r="D100" s="5" t="s">
        <v>46</v>
      </c>
      <c r="E100" s="12" t="s">
        <v>336</v>
      </c>
      <c r="F100">
        <v>0</v>
      </c>
      <c r="G100">
        <v>25</v>
      </c>
      <c r="H100">
        <v>1</v>
      </c>
      <c r="I100">
        <v>35</v>
      </c>
      <c r="J100">
        <f>Table1[[#This Row],[Start: Minute]]*60+Table1[[#This Row],[Start: Second]]</f>
        <v>25</v>
      </c>
      <c r="K100">
        <f t="shared" si="3"/>
        <v>95</v>
      </c>
    </row>
    <row r="101" spans="1:11" ht="33" thickBot="1" x14ac:dyDescent="0.25">
      <c r="A101" s="4" t="s">
        <v>273</v>
      </c>
      <c r="B101" s="5" t="s">
        <v>120</v>
      </c>
      <c r="C101" s="5" t="s">
        <v>274</v>
      </c>
      <c r="D101" s="5" t="s">
        <v>42</v>
      </c>
      <c r="E101" s="12" t="s">
        <v>336</v>
      </c>
      <c r="F101">
        <v>0</v>
      </c>
      <c r="G101">
        <v>33</v>
      </c>
      <c r="H101">
        <v>1</v>
      </c>
      <c r="I101">
        <v>1</v>
      </c>
      <c r="J101">
        <f>Table1[[#This Row],[Start: Minute]]*60+Table1[[#This Row],[Start: Second]]</f>
        <v>33</v>
      </c>
      <c r="K101">
        <f t="shared" si="3"/>
        <v>61</v>
      </c>
    </row>
    <row r="102" spans="1:11" ht="33" thickBot="1" x14ac:dyDescent="0.25">
      <c r="A102" s="16" t="s">
        <v>211</v>
      </c>
      <c r="B102" s="20" t="s">
        <v>212</v>
      </c>
      <c r="C102" s="20" t="s">
        <v>213</v>
      </c>
      <c r="D102" s="20" t="s">
        <v>42</v>
      </c>
      <c r="E102" s="22" t="s">
        <v>348</v>
      </c>
      <c r="F102">
        <v>0</v>
      </c>
      <c r="G102">
        <v>33</v>
      </c>
      <c r="H102">
        <v>1</v>
      </c>
      <c r="I102">
        <v>12</v>
      </c>
      <c r="J102">
        <f>Table1[[#This Row],[Start: Minute]]*60+Table1[[#This Row],[Start: Second]]</f>
        <v>33</v>
      </c>
      <c r="K102">
        <f t="shared" si="3"/>
        <v>72</v>
      </c>
    </row>
    <row r="103" spans="1:11" ht="33" thickBot="1" x14ac:dyDescent="0.25">
      <c r="A103" s="10" t="s">
        <v>242</v>
      </c>
      <c r="B103" s="9" t="s">
        <v>243</v>
      </c>
      <c r="C103" s="9" t="s">
        <v>244</v>
      </c>
      <c r="D103" s="9" t="s">
        <v>42</v>
      </c>
      <c r="E103" s="8" t="s">
        <v>324</v>
      </c>
      <c r="F103">
        <v>0</v>
      </c>
      <c r="G103">
        <v>35</v>
      </c>
      <c r="H103">
        <v>1</v>
      </c>
      <c r="I103">
        <v>3</v>
      </c>
      <c r="J103">
        <f>Table1[[#This Row],[Start: Minute]]*60+Table1[[#This Row],[Start: Second]]</f>
        <v>35</v>
      </c>
      <c r="K103">
        <f t="shared" si="3"/>
        <v>63</v>
      </c>
    </row>
    <row r="104" spans="1:11" x14ac:dyDescent="0.2">
      <c r="A104" t="s">
        <v>362</v>
      </c>
      <c r="B104" t="s">
        <v>363</v>
      </c>
      <c r="C104" t="s">
        <v>364</v>
      </c>
      <c r="D104" t="s">
        <v>42</v>
      </c>
      <c r="E104" t="s">
        <v>365</v>
      </c>
      <c r="F104">
        <v>0</v>
      </c>
      <c r="G104">
        <v>40</v>
      </c>
      <c r="H104">
        <v>1</v>
      </c>
      <c r="I104">
        <v>11</v>
      </c>
      <c r="J104">
        <f>Table1[[#This Row],[Start: Minute]]*60+Table1[[#This Row],[Start: Second]]</f>
        <v>40</v>
      </c>
      <c r="K104">
        <f t="shared" ref="K104:K135" si="4">H104*60+I104</f>
        <v>71</v>
      </c>
    </row>
    <row r="105" spans="1:11" x14ac:dyDescent="0.2">
      <c r="A105" t="s">
        <v>366</v>
      </c>
      <c r="B105" t="s">
        <v>367</v>
      </c>
      <c r="C105" t="s">
        <v>368</v>
      </c>
      <c r="D105" t="s">
        <v>42</v>
      </c>
      <c r="E105" t="s">
        <v>365</v>
      </c>
      <c r="F105">
        <v>0</v>
      </c>
      <c r="G105">
        <v>26</v>
      </c>
      <c r="H105">
        <v>1</v>
      </c>
      <c r="I105">
        <v>14</v>
      </c>
      <c r="J105">
        <f>Table1[[#This Row],[Start: Minute]]*60+Table1[[#This Row],[Start: Second]]</f>
        <v>26</v>
      </c>
      <c r="K105">
        <f t="shared" si="4"/>
        <v>74</v>
      </c>
    </row>
    <row r="106" spans="1:11" x14ac:dyDescent="0.2">
      <c r="A106" t="s">
        <v>369</v>
      </c>
      <c r="B106" t="s">
        <v>367</v>
      </c>
      <c r="C106" t="s">
        <v>370</v>
      </c>
      <c r="D106" t="s">
        <v>42</v>
      </c>
      <c r="E106" t="s">
        <v>365</v>
      </c>
      <c r="F106">
        <v>0</v>
      </c>
      <c r="G106">
        <v>38</v>
      </c>
      <c r="H106">
        <v>1</v>
      </c>
      <c r="I106">
        <v>29</v>
      </c>
      <c r="J106">
        <f>Table1[[#This Row],[Start: Minute]]*60+Table1[[#This Row],[Start: Second]]</f>
        <v>38</v>
      </c>
      <c r="K106">
        <f t="shared" si="4"/>
        <v>89</v>
      </c>
    </row>
    <row r="107" spans="1:11" x14ac:dyDescent="0.2">
      <c r="A107" t="s">
        <v>371</v>
      </c>
      <c r="B107" t="s">
        <v>372</v>
      </c>
      <c r="C107" t="s">
        <v>373</v>
      </c>
      <c r="D107" t="s">
        <v>178</v>
      </c>
      <c r="E107" t="s">
        <v>365</v>
      </c>
      <c r="F107">
        <v>1</v>
      </c>
      <c r="G107">
        <v>43</v>
      </c>
      <c r="H107">
        <v>2</v>
      </c>
      <c r="I107">
        <v>40</v>
      </c>
      <c r="J107">
        <f>Table1[[#This Row],[Start: Minute]]*60+Table1[[#This Row],[Start: Second]]</f>
        <v>103</v>
      </c>
      <c r="K107">
        <f t="shared" si="4"/>
        <v>160</v>
      </c>
    </row>
    <row r="108" spans="1:11" x14ac:dyDescent="0.2">
      <c r="A108" t="s">
        <v>374</v>
      </c>
      <c r="B108" t="s">
        <v>300</v>
      </c>
      <c r="C108" t="s">
        <v>375</v>
      </c>
      <c r="D108" t="s">
        <v>42</v>
      </c>
      <c r="E108" t="s">
        <v>365</v>
      </c>
      <c r="F108">
        <v>0</v>
      </c>
      <c r="G108">
        <v>42</v>
      </c>
      <c r="H108">
        <v>1</v>
      </c>
      <c r="I108">
        <v>27</v>
      </c>
      <c r="J108">
        <f>Table1[[#This Row],[Start: Minute]]*60+Table1[[#This Row],[Start: Second]]</f>
        <v>42</v>
      </c>
      <c r="K108">
        <f t="shared" si="4"/>
        <v>87</v>
      </c>
    </row>
    <row r="109" spans="1:11" x14ac:dyDescent="0.2">
      <c r="A109" t="s">
        <v>512</v>
      </c>
      <c r="B109" t="s">
        <v>300</v>
      </c>
      <c r="C109" t="s">
        <v>376</v>
      </c>
      <c r="D109" t="s">
        <v>42</v>
      </c>
      <c r="E109" t="s">
        <v>365</v>
      </c>
      <c r="F109">
        <v>0</v>
      </c>
      <c r="G109">
        <v>40</v>
      </c>
      <c r="H109">
        <v>1</v>
      </c>
      <c r="I109">
        <v>19</v>
      </c>
      <c r="J109">
        <f>Table1[[#This Row],[Start: Minute]]*60+Table1[[#This Row],[Start: Second]]</f>
        <v>40</v>
      </c>
      <c r="K109">
        <f t="shared" si="4"/>
        <v>79</v>
      </c>
    </row>
    <row r="110" spans="1:11" x14ac:dyDescent="0.2">
      <c r="A110" t="s">
        <v>377</v>
      </c>
      <c r="B110" t="s">
        <v>378</v>
      </c>
      <c r="C110" t="s">
        <v>379</v>
      </c>
      <c r="D110" t="s">
        <v>42</v>
      </c>
      <c r="E110" t="s">
        <v>365</v>
      </c>
      <c r="F110">
        <v>0</v>
      </c>
      <c r="G110">
        <v>35</v>
      </c>
      <c r="H110">
        <v>1</v>
      </c>
      <c r="I110">
        <v>13</v>
      </c>
      <c r="J110">
        <f>Table1[[#This Row],[Start: Minute]]*60+Table1[[#This Row],[Start: Second]]</f>
        <v>35</v>
      </c>
      <c r="K110">
        <f t="shared" si="4"/>
        <v>73</v>
      </c>
    </row>
    <row r="111" spans="1:11" x14ac:dyDescent="0.2">
      <c r="A111" t="s">
        <v>380</v>
      </c>
      <c r="B111" t="s">
        <v>381</v>
      </c>
      <c r="C111" t="s">
        <v>382</v>
      </c>
      <c r="D111" t="s">
        <v>42</v>
      </c>
      <c r="E111" t="s">
        <v>365</v>
      </c>
      <c r="F111">
        <v>0</v>
      </c>
      <c r="G111">
        <v>36</v>
      </c>
      <c r="H111">
        <v>1</v>
      </c>
      <c r="I111">
        <v>27</v>
      </c>
      <c r="J111">
        <f>Table1[[#This Row],[Start: Minute]]*60+Table1[[#This Row],[Start: Second]]</f>
        <v>36</v>
      </c>
      <c r="K111">
        <f t="shared" si="4"/>
        <v>87</v>
      </c>
    </row>
    <row r="112" spans="1:11" x14ac:dyDescent="0.2">
      <c r="A112" t="s">
        <v>383</v>
      </c>
      <c r="B112" t="s">
        <v>381</v>
      </c>
      <c r="C112" t="s">
        <v>384</v>
      </c>
      <c r="D112" t="s">
        <v>178</v>
      </c>
      <c r="E112" t="s">
        <v>365</v>
      </c>
      <c r="F112">
        <v>0</v>
      </c>
      <c r="G112">
        <v>55</v>
      </c>
      <c r="H112">
        <v>2</v>
      </c>
      <c r="I112">
        <v>13</v>
      </c>
      <c r="J112">
        <f>Table1[[#This Row],[Start: Minute]]*60+Table1[[#This Row],[Start: Second]]</f>
        <v>55</v>
      </c>
      <c r="K112">
        <f t="shared" si="4"/>
        <v>133</v>
      </c>
    </row>
    <row r="113" spans="1:11" x14ac:dyDescent="0.2">
      <c r="A113" t="s">
        <v>385</v>
      </c>
      <c r="B113" t="s">
        <v>129</v>
      </c>
      <c r="C113" t="s">
        <v>386</v>
      </c>
      <c r="D113" t="s">
        <v>42</v>
      </c>
      <c r="E113" t="s">
        <v>365</v>
      </c>
      <c r="F113">
        <v>0</v>
      </c>
      <c r="G113">
        <v>37</v>
      </c>
      <c r="H113">
        <v>1</v>
      </c>
      <c r="I113">
        <v>21</v>
      </c>
      <c r="J113">
        <f>Table1[[#This Row],[Start: Minute]]*60+Table1[[#This Row],[Start: Second]]</f>
        <v>37</v>
      </c>
      <c r="K113">
        <f t="shared" si="4"/>
        <v>81</v>
      </c>
    </row>
    <row r="114" spans="1:11" x14ac:dyDescent="0.2">
      <c r="A114" t="s">
        <v>387</v>
      </c>
      <c r="B114" t="s">
        <v>129</v>
      </c>
      <c r="C114" t="s">
        <v>388</v>
      </c>
      <c r="D114" t="s">
        <v>42</v>
      </c>
      <c r="E114" t="s">
        <v>365</v>
      </c>
      <c r="F114">
        <v>0</v>
      </c>
      <c r="G114">
        <v>24</v>
      </c>
      <c r="H114">
        <v>1</v>
      </c>
      <c r="I114">
        <v>11</v>
      </c>
      <c r="J114">
        <f>Table1[[#This Row],[Start: Minute]]*60+Table1[[#This Row],[Start: Second]]</f>
        <v>24</v>
      </c>
      <c r="K114">
        <f t="shared" si="4"/>
        <v>71</v>
      </c>
    </row>
    <row r="115" spans="1:11" x14ac:dyDescent="0.2">
      <c r="A115" t="s">
        <v>389</v>
      </c>
      <c r="B115" t="s">
        <v>390</v>
      </c>
      <c r="C115" t="s">
        <v>391</v>
      </c>
      <c r="D115" t="s">
        <v>42</v>
      </c>
      <c r="E115" t="s">
        <v>365</v>
      </c>
      <c r="F115">
        <v>0</v>
      </c>
      <c r="G115">
        <v>33</v>
      </c>
      <c r="H115">
        <v>1</v>
      </c>
      <c r="I115">
        <v>24</v>
      </c>
      <c r="J115">
        <f>Table1[[#This Row],[Start: Minute]]*60+Table1[[#This Row],[Start: Second]]</f>
        <v>33</v>
      </c>
      <c r="K115">
        <f t="shared" si="4"/>
        <v>84</v>
      </c>
    </row>
    <row r="116" spans="1:11" x14ac:dyDescent="0.2">
      <c r="A116" t="s">
        <v>392</v>
      </c>
      <c r="B116" t="s">
        <v>393</v>
      </c>
      <c r="C116" t="s">
        <v>394</v>
      </c>
      <c r="D116" t="s">
        <v>42</v>
      </c>
      <c r="E116" t="s">
        <v>365</v>
      </c>
      <c r="F116">
        <v>0</v>
      </c>
      <c r="G116">
        <v>53</v>
      </c>
      <c r="H116">
        <v>1</v>
      </c>
      <c r="I116">
        <v>49</v>
      </c>
      <c r="J116">
        <f>Table1[[#This Row],[Start: Minute]]*60+Table1[[#This Row],[Start: Second]]</f>
        <v>53</v>
      </c>
      <c r="K116">
        <f t="shared" si="4"/>
        <v>109</v>
      </c>
    </row>
    <row r="117" spans="1:11" x14ac:dyDescent="0.2">
      <c r="A117" t="s">
        <v>395</v>
      </c>
      <c r="B117" t="s">
        <v>393</v>
      </c>
      <c r="C117" t="s">
        <v>396</v>
      </c>
      <c r="D117" t="s">
        <v>42</v>
      </c>
      <c r="E117" t="s">
        <v>365</v>
      </c>
      <c r="F117">
        <v>0</v>
      </c>
      <c r="G117">
        <v>37</v>
      </c>
      <c r="H117">
        <v>1</v>
      </c>
      <c r="I117">
        <v>46</v>
      </c>
      <c r="J117">
        <f>Table1[[#This Row],[Start: Minute]]*60+Table1[[#This Row],[Start: Second]]</f>
        <v>37</v>
      </c>
      <c r="K117">
        <f t="shared" si="4"/>
        <v>106</v>
      </c>
    </row>
    <row r="118" spans="1:11" x14ac:dyDescent="0.2">
      <c r="A118" t="s">
        <v>397</v>
      </c>
      <c r="B118" t="s">
        <v>398</v>
      </c>
      <c r="C118" t="s">
        <v>399</v>
      </c>
      <c r="D118" t="s">
        <v>42</v>
      </c>
      <c r="E118" t="s">
        <v>365</v>
      </c>
      <c r="F118">
        <v>0</v>
      </c>
      <c r="G118">
        <v>7</v>
      </c>
      <c r="H118">
        <v>0</v>
      </c>
      <c r="I118">
        <v>50</v>
      </c>
      <c r="J118">
        <f>Table1[[#This Row],[Start: Minute]]*60+Table1[[#This Row],[Start: Second]]</f>
        <v>7</v>
      </c>
      <c r="K118">
        <f t="shared" si="4"/>
        <v>50</v>
      </c>
    </row>
    <row r="119" spans="1:11" x14ac:dyDescent="0.2">
      <c r="A119" t="s">
        <v>400</v>
      </c>
      <c r="B119" t="s">
        <v>398</v>
      </c>
      <c r="C119" t="s">
        <v>401</v>
      </c>
      <c r="D119" t="s">
        <v>178</v>
      </c>
      <c r="E119" t="s">
        <v>365</v>
      </c>
      <c r="F119">
        <v>0</v>
      </c>
      <c r="G119">
        <v>50</v>
      </c>
      <c r="H119">
        <v>1</v>
      </c>
      <c r="I119">
        <v>33</v>
      </c>
      <c r="J119">
        <f>Table1[[#This Row],[Start: Minute]]*60+Table1[[#This Row],[Start: Second]]</f>
        <v>50</v>
      </c>
      <c r="K119">
        <f t="shared" si="4"/>
        <v>93</v>
      </c>
    </row>
    <row r="120" spans="1:11" x14ac:dyDescent="0.2">
      <c r="A120" t="s">
        <v>402</v>
      </c>
      <c r="B120" t="s">
        <v>403</v>
      </c>
      <c r="C120" t="s">
        <v>404</v>
      </c>
      <c r="D120" t="s">
        <v>42</v>
      </c>
      <c r="E120" t="s">
        <v>365</v>
      </c>
      <c r="F120">
        <v>0</v>
      </c>
      <c r="G120">
        <v>23</v>
      </c>
      <c r="H120">
        <v>1</v>
      </c>
      <c r="I120">
        <v>4</v>
      </c>
      <c r="J120">
        <f>Table1[[#This Row],[Start: Minute]]*60+Table1[[#This Row],[Start: Second]]</f>
        <v>23</v>
      </c>
      <c r="K120">
        <f t="shared" si="4"/>
        <v>64</v>
      </c>
    </row>
    <row r="121" spans="1:11" x14ac:dyDescent="0.2">
      <c r="A121" t="s">
        <v>405</v>
      </c>
      <c r="B121" t="s">
        <v>403</v>
      </c>
      <c r="C121" t="s">
        <v>290</v>
      </c>
      <c r="D121" t="s">
        <v>42</v>
      </c>
      <c r="E121" t="s">
        <v>365</v>
      </c>
      <c r="F121">
        <v>0</v>
      </c>
      <c r="G121">
        <v>37</v>
      </c>
      <c r="H121">
        <v>1</v>
      </c>
      <c r="I121">
        <v>23</v>
      </c>
      <c r="J121">
        <f>Table1[[#This Row],[Start: Minute]]*60+Table1[[#This Row],[Start: Second]]</f>
        <v>37</v>
      </c>
      <c r="K121">
        <f t="shared" si="4"/>
        <v>83</v>
      </c>
    </row>
    <row r="122" spans="1:11" x14ac:dyDescent="0.2">
      <c r="A122" t="s">
        <v>406</v>
      </c>
      <c r="B122" t="s">
        <v>407</v>
      </c>
      <c r="C122" t="s">
        <v>408</v>
      </c>
      <c r="D122" t="s">
        <v>42</v>
      </c>
      <c r="E122" t="s">
        <v>365</v>
      </c>
      <c r="F122">
        <v>0</v>
      </c>
      <c r="G122">
        <v>37</v>
      </c>
      <c r="H122">
        <v>1</v>
      </c>
      <c r="I122">
        <v>16</v>
      </c>
      <c r="J122">
        <f>Table1[[#This Row],[Start: Minute]]*60+Table1[[#This Row],[Start: Second]]</f>
        <v>37</v>
      </c>
      <c r="K122">
        <f t="shared" si="4"/>
        <v>76</v>
      </c>
    </row>
    <row r="123" spans="1:11" x14ac:dyDescent="0.2">
      <c r="A123" t="s">
        <v>409</v>
      </c>
      <c r="B123" t="s">
        <v>70</v>
      </c>
      <c r="C123" t="s">
        <v>410</v>
      </c>
      <c r="D123" t="s">
        <v>42</v>
      </c>
      <c r="E123" t="s">
        <v>365</v>
      </c>
      <c r="F123">
        <v>0</v>
      </c>
      <c r="G123">
        <v>33</v>
      </c>
      <c r="H123">
        <v>1</v>
      </c>
      <c r="I123">
        <v>15</v>
      </c>
      <c r="J123">
        <f>Table1[[#This Row],[Start: Minute]]*60+Table1[[#This Row],[Start: Second]]</f>
        <v>33</v>
      </c>
      <c r="K123">
        <f t="shared" si="4"/>
        <v>75</v>
      </c>
    </row>
    <row r="124" spans="1:11" x14ac:dyDescent="0.2">
      <c r="A124" t="s">
        <v>411</v>
      </c>
      <c r="B124" t="s">
        <v>412</v>
      </c>
      <c r="C124" t="s">
        <v>413</v>
      </c>
      <c r="D124" t="s">
        <v>42</v>
      </c>
      <c r="E124" t="s">
        <v>365</v>
      </c>
      <c r="F124">
        <v>0</v>
      </c>
      <c r="G124">
        <v>25</v>
      </c>
      <c r="H124">
        <v>1</v>
      </c>
      <c r="I124">
        <v>9</v>
      </c>
      <c r="J124">
        <f>Table1[[#This Row],[Start: Minute]]*60+Table1[[#This Row],[Start: Second]]</f>
        <v>25</v>
      </c>
      <c r="K124">
        <f t="shared" si="4"/>
        <v>69</v>
      </c>
    </row>
    <row r="125" spans="1:11" x14ac:dyDescent="0.2">
      <c r="A125" t="s">
        <v>414</v>
      </c>
      <c r="B125" t="s">
        <v>415</v>
      </c>
      <c r="C125" t="s">
        <v>416</v>
      </c>
      <c r="D125" t="s">
        <v>42</v>
      </c>
      <c r="E125" t="s">
        <v>365</v>
      </c>
      <c r="F125">
        <v>1</v>
      </c>
      <c r="G125">
        <v>9</v>
      </c>
      <c r="H125">
        <v>1</v>
      </c>
      <c r="I125">
        <v>53</v>
      </c>
      <c r="J125">
        <f>Table1[[#This Row],[Start: Minute]]*60+Table1[[#This Row],[Start: Second]]</f>
        <v>69</v>
      </c>
      <c r="K125">
        <f t="shared" si="4"/>
        <v>113</v>
      </c>
    </row>
    <row r="126" spans="1:11" x14ac:dyDescent="0.2">
      <c r="A126" t="s">
        <v>417</v>
      </c>
      <c r="B126" t="s">
        <v>418</v>
      </c>
      <c r="C126" t="s">
        <v>419</v>
      </c>
      <c r="D126" t="s">
        <v>53</v>
      </c>
      <c r="E126" t="s">
        <v>365</v>
      </c>
      <c r="F126">
        <v>0</v>
      </c>
      <c r="G126">
        <v>32</v>
      </c>
      <c r="H126">
        <v>1</v>
      </c>
      <c r="I126">
        <v>18</v>
      </c>
      <c r="J126">
        <f>Table1[[#This Row],[Start: Minute]]*60+Table1[[#This Row],[Start: Second]]</f>
        <v>32</v>
      </c>
      <c r="K126">
        <f t="shared" si="4"/>
        <v>78</v>
      </c>
    </row>
    <row r="127" spans="1:11" x14ac:dyDescent="0.2">
      <c r="A127" t="s">
        <v>420</v>
      </c>
      <c r="B127" t="s">
        <v>418</v>
      </c>
      <c r="C127" t="s">
        <v>421</v>
      </c>
      <c r="D127" t="s">
        <v>42</v>
      </c>
      <c r="E127" t="s">
        <v>365</v>
      </c>
      <c r="F127">
        <v>0</v>
      </c>
      <c r="G127">
        <v>49</v>
      </c>
      <c r="H127">
        <v>1</v>
      </c>
      <c r="I127">
        <v>46</v>
      </c>
      <c r="J127">
        <f>Table1[[#This Row],[Start: Minute]]*60+Table1[[#This Row],[Start: Second]]</f>
        <v>49</v>
      </c>
      <c r="K127">
        <f t="shared" si="4"/>
        <v>106</v>
      </c>
    </row>
    <row r="128" spans="1:11" x14ac:dyDescent="0.2">
      <c r="A128" t="s">
        <v>422</v>
      </c>
      <c r="B128" t="s">
        <v>423</v>
      </c>
      <c r="C128" t="s">
        <v>424</v>
      </c>
      <c r="D128" t="s">
        <v>178</v>
      </c>
      <c r="E128" t="s">
        <v>365</v>
      </c>
      <c r="F128">
        <v>1</v>
      </c>
      <c r="G128">
        <v>22</v>
      </c>
      <c r="H128">
        <v>2</v>
      </c>
      <c r="I128">
        <v>17</v>
      </c>
      <c r="J128">
        <f>Table1[[#This Row],[Start: Minute]]*60+Table1[[#This Row],[Start: Second]]</f>
        <v>82</v>
      </c>
      <c r="K128">
        <f t="shared" si="4"/>
        <v>137</v>
      </c>
    </row>
    <row r="129" spans="1:11" x14ac:dyDescent="0.2">
      <c r="A129" t="s">
        <v>425</v>
      </c>
      <c r="B129" t="s">
        <v>67</v>
      </c>
      <c r="C129" t="s">
        <v>68</v>
      </c>
      <c r="D129" t="s">
        <v>42</v>
      </c>
      <c r="E129" t="s">
        <v>365</v>
      </c>
      <c r="F129">
        <v>0</v>
      </c>
      <c r="G129">
        <v>29</v>
      </c>
      <c r="H129">
        <v>1</v>
      </c>
      <c r="I129">
        <v>18</v>
      </c>
      <c r="J129">
        <f>Table1[[#This Row],[Start: Minute]]*60+Table1[[#This Row],[Start: Second]]</f>
        <v>29</v>
      </c>
      <c r="K129">
        <f t="shared" si="4"/>
        <v>78</v>
      </c>
    </row>
    <row r="130" spans="1:11" x14ac:dyDescent="0.2">
      <c r="A130" t="s">
        <v>426</v>
      </c>
      <c r="B130" t="s">
        <v>67</v>
      </c>
      <c r="C130" t="s">
        <v>427</v>
      </c>
      <c r="D130" t="s">
        <v>42</v>
      </c>
      <c r="E130" t="s">
        <v>365</v>
      </c>
      <c r="F130">
        <v>0</v>
      </c>
      <c r="G130">
        <v>19</v>
      </c>
      <c r="H130">
        <v>0</v>
      </c>
      <c r="I130">
        <v>57</v>
      </c>
      <c r="J130">
        <f>Table1[[#This Row],[Start: Minute]]*60+Table1[[#This Row],[Start: Second]]</f>
        <v>19</v>
      </c>
      <c r="K130">
        <f t="shared" si="4"/>
        <v>57</v>
      </c>
    </row>
    <row r="131" spans="1:11" x14ac:dyDescent="0.2">
      <c r="A131" t="s">
        <v>428</v>
      </c>
      <c r="B131" t="s">
        <v>429</v>
      </c>
      <c r="C131" t="s">
        <v>145</v>
      </c>
      <c r="D131" t="s">
        <v>42</v>
      </c>
      <c r="E131" t="s">
        <v>365</v>
      </c>
      <c r="F131">
        <v>0</v>
      </c>
      <c r="G131">
        <v>26</v>
      </c>
      <c r="H131">
        <v>1</v>
      </c>
      <c r="I131">
        <v>4</v>
      </c>
      <c r="J131">
        <f>Table1[[#This Row],[Start: Minute]]*60+Table1[[#This Row],[Start: Second]]</f>
        <v>26</v>
      </c>
      <c r="K131">
        <f t="shared" si="4"/>
        <v>64</v>
      </c>
    </row>
    <row r="132" spans="1:11" x14ac:dyDescent="0.2">
      <c r="A132" t="s">
        <v>430</v>
      </c>
      <c r="B132" t="s">
        <v>431</v>
      </c>
      <c r="C132" t="s">
        <v>432</v>
      </c>
      <c r="D132" t="s">
        <v>42</v>
      </c>
      <c r="E132" t="s">
        <v>365</v>
      </c>
      <c r="F132">
        <v>0</v>
      </c>
      <c r="G132">
        <v>25</v>
      </c>
      <c r="H132">
        <v>1</v>
      </c>
      <c r="I132">
        <v>10</v>
      </c>
      <c r="J132">
        <f>Table1[[#This Row],[Start: Minute]]*60+Table1[[#This Row],[Start: Second]]</f>
        <v>25</v>
      </c>
      <c r="K132">
        <f t="shared" si="4"/>
        <v>70</v>
      </c>
    </row>
    <row r="133" spans="1:11" x14ac:dyDescent="0.2">
      <c r="A133" t="s">
        <v>433</v>
      </c>
      <c r="B133" t="s">
        <v>434</v>
      </c>
      <c r="C133" t="s">
        <v>235</v>
      </c>
      <c r="D133" t="s">
        <v>42</v>
      </c>
      <c r="E133" t="s">
        <v>365</v>
      </c>
      <c r="F133">
        <v>0</v>
      </c>
      <c r="G133">
        <v>16</v>
      </c>
      <c r="H133">
        <v>1</v>
      </c>
      <c r="I133">
        <v>1</v>
      </c>
      <c r="J133">
        <f>Table1[[#This Row],[Start: Minute]]*60+Table1[[#This Row],[Start: Second]]</f>
        <v>16</v>
      </c>
      <c r="K133">
        <f t="shared" si="4"/>
        <v>61</v>
      </c>
    </row>
    <row r="134" spans="1:11" x14ac:dyDescent="0.2">
      <c r="A134" t="s">
        <v>435</v>
      </c>
      <c r="B134" t="s">
        <v>434</v>
      </c>
      <c r="C134" t="s">
        <v>436</v>
      </c>
      <c r="D134" t="s">
        <v>42</v>
      </c>
      <c r="E134" t="s">
        <v>365</v>
      </c>
      <c r="F134">
        <v>0</v>
      </c>
      <c r="G134">
        <v>17</v>
      </c>
      <c r="H134">
        <v>1</v>
      </c>
      <c r="I134">
        <v>17</v>
      </c>
      <c r="J134">
        <f>Table1[[#This Row],[Start: Minute]]*60+Table1[[#This Row],[Start: Second]]</f>
        <v>17</v>
      </c>
      <c r="K134">
        <f t="shared" si="4"/>
        <v>77</v>
      </c>
    </row>
    <row r="135" spans="1:11" x14ac:dyDescent="0.2">
      <c r="A135" t="s">
        <v>437</v>
      </c>
      <c r="B135" t="s">
        <v>438</v>
      </c>
      <c r="C135" t="s">
        <v>439</v>
      </c>
      <c r="D135" t="s">
        <v>42</v>
      </c>
      <c r="E135" t="s">
        <v>365</v>
      </c>
      <c r="F135">
        <v>0</v>
      </c>
      <c r="G135">
        <v>40</v>
      </c>
      <c r="H135">
        <v>1</v>
      </c>
      <c r="I135">
        <v>19</v>
      </c>
      <c r="J135">
        <f>Table1[[#This Row],[Start: Minute]]*60+Table1[[#This Row],[Start: Second]]</f>
        <v>40</v>
      </c>
      <c r="K135">
        <f t="shared" si="4"/>
        <v>79</v>
      </c>
    </row>
    <row r="136" spans="1:11" x14ac:dyDescent="0.2">
      <c r="A136" t="s">
        <v>440</v>
      </c>
      <c r="B136" t="s">
        <v>441</v>
      </c>
      <c r="C136" t="s">
        <v>442</v>
      </c>
      <c r="D136" t="s">
        <v>42</v>
      </c>
      <c r="E136" t="s">
        <v>365</v>
      </c>
      <c r="F136">
        <v>0</v>
      </c>
      <c r="G136">
        <v>35</v>
      </c>
      <c r="H136">
        <v>1</v>
      </c>
      <c r="I136">
        <v>14</v>
      </c>
      <c r="J136">
        <f>Table1[[#This Row],[Start: Minute]]*60+Table1[[#This Row],[Start: Second]]</f>
        <v>35</v>
      </c>
      <c r="K136">
        <f t="shared" ref="K136:K163" si="5">H136*60+I136</f>
        <v>74</v>
      </c>
    </row>
    <row r="137" spans="1:11" x14ac:dyDescent="0.2">
      <c r="A137" t="s">
        <v>443</v>
      </c>
      <c r="B137" t="s">
        <v>444</v>
      </c>
      <c r="C137" t="s">
        <v>445</v>
      </c>
      <c r="D137" t="s">
        <v>42</v>
      </c>
      <c r="E137" t="s">
        <v>365</v>
      </c>
      <c r="F137">
        <v>0</v>
      </c>
      <c r="G137">
        <v>32</v>
      </c>
      <c r="H137">
        <v>1</v>
      </c>
      <c r="I137">
        <v>28</v>
      </c>
      <c r="J137">
        <f>Table1[[#This Row],[Start: Minute]]*60+Table1[[#This Row],[Start: Second]]</f>
        <v>32</v>
      </c>
      <c r="K137">
        <f t="shared" si="5"/>
        <v>88</v>
      </c>
    </row>
    <row r="138" spans="1:11" x14ac:dyDescent="0.2">
      <c r="A138" t="s">
        <v>446</v>
      </c>
      <c r="B138" t="s">
        <v>444</v>
      </c>
      <c r="C138" t="s">
        <v>447</v>
      </c>
      <c r="D138" t="s">
        <v>42</v>
      </c>
      <c r="E138" t="s">
        <v>365</v>
      </c>
      <c r="F138">
        <v>0</v>
      </c>
      <c r="G138">
        <v>20</v>
      </c>
      <c r="H138">
        <v>1</v>
      </c>
      <c r="I138">
        <v>15</v>
      </c>
      <c r="J138">
        <f>Table1[[#This Row],[Start: Minute]]*60+Table1[[#This Row],[Start: Second]]</f>
        <v>20</v>
      </c>
      <c r="K138">
        <f t="shared" si="5"/>
        <v>75</v>
      </c>
    </row>
    <row r="139" spans="1:11" x14ac:dyDescent="0.2">
      <c r="A139" t="s">
        <v>448</v>
      </c>
      <c r="B139" t="s">
        <v>449</v>
      </c>
      <c r="C139" t="s">
        <v>450</v>
      </c>
      <c r="D139" t="s">
        <v>42</v>
      </c>
      <c r="E139" t="s">
        <v>365</v>
      </c>
      <c r="F139">
        <v>0</v>
      </c>
      <c r="G139">
        <v>46</v>
      </c>
      <c r="H139">
        <v>1</v>
      </c>
      <c r="I139">
        <v>26</v>
      </c>
      <c r="J139">
        <f>Table1[[#This Row],[Start: Minute]]*60+Table1[[#This Row],[Start: Second]]</f>
        <v>46</v>
      </c>
      <c r="K139">
        <f t="shared" si="5"/>
        <v>86</v>
      </c>
    </row>
    <row r="140" spans="1:11" x14ac:dyDescent="0.2">
      <c r="A140" t="s">
        <v>451</v>
      </c>
      <c r="B140" t="s">
        <v>452</v>
      </c>
      <c r="C140" t="s">
        <v>453</v>
      </c>
      <c r="D140" t="s">
        <v>42</v>
      </c>
      <c r="E140" t="s">
        <v>365</v>
      </c>
      <c r="F140">
        <v>0</v>
      </c>
      <c r="G140">
        <v>39</v>
      </c>
      <c r="H140">
        <v>1</v>
      </c>
      <c r="I140">
        <v>22</v>
      </c>
      <c r="J140">
        <f>Table1[[#This Row],[Start: Minute]]*60+Table1[[#This Row],[Start: Second]]</f>
        <v>39</v>
      </c>
      <c r="K140">
        <f t="shared" si="5"/>
        <v>82</v>
      </c>
    </row>
    <row r="141" spans="1:11" x14ac:dyDescent="0.2">
      <c r="A141" t="s">
        <v>454</v>
      </c>
      <c r="B141" t="s">
        <v>452</v>
      </c>
      <c r="C141" t="s">
        <v>455</v>
      </c>
      <c r="D141" t="s">
        <v>42</v>
      </c>
      <c r="E141" t="s">
        <v>365</v>
      </c>
      <c r="F141">
        <v>0</v>
      </c>
      <c r="G141">
        <v>36</v>
      </c>
      <c r="H141">
        <v>1</v>
      </c>
      <c r="I141">
        <v>18</v>
      </c>
      <c r="J141">
        <f>Table1[[#This Row],[Start: Minute]]*60+Table1[[#This Row],[Start: Second]]</f>
        <v>36</v>
      </c>
      <c r="K141">
        <f t="shared" si="5"/>
        <v>78</v>
      </c>
    </row>
    <row r="142" spans="1:11" x14ac:dyDescent="0.2">
      <c r="A142" t="s">
        <v>456</v>
      </c>
      <c r="B142" t="s">
        <v>457</v>
      </c>
      <c r="C142" t="s">
        <v>458</v>
      </c>
      <c r="D142" t="s">
        <v>42</v>
      </c>
      <c r="E142" t="s">
        <v>365</v>
      </c>
      <c r="F142">
        <v>0</v>
      </c>
      <c r="G142">
        <v>33</v>
      </c>
      <c r="H142">
        <v>1</v>
      </c>
      <c r="I142">
        <v>5</v>
      </c>
      <c r="J142">
        <f>Table1[[#This Row],[Start: Minute]]*60+Table1[[#This Row],[Start: Second]]</f>
        <v>33</v>
      </c>
      <c r="K142">
        <f t="shared" si="5"/>
        <v>65</v>
      </c>
    </row>
    <row r="143" spans="1:11" x14ac:dyDescent="0.2">
      <c r="A143" t="s">
        <v>459</v>
      </c>
      <c r="B143" t="s">
        <v>460</v>
      </c>
      <c r="C143" t="s">
        <v>461</v>
      </c>
      <c r="D143" t="s">
        <v>42</v>
      </c>
      <c r="E143" t="s">
        <v>365</v>
      </c>
      <c r="F143">
        <v>0</v>
      </c>
      <c r="G143">
        <v>32</v>
      </c>
      <c r="H143">
        <v>1</v>
      </c>
      <c r="I143">
        <v>2</v>
      </c>
      <c r="J143">
        <f>Table1[[#This Row],[Start: Minute]]*60+Table1[[#This Row],[Start: Second]]</f>
        <v>32</v>
      </c>
      <c r="K143">
        <f t="shared" si="5"/>
        <v>62</v>
      </c>
    </row>
    <row r="144" spans="1:11" x14ac:dyDescent="0.2">
      <c r="A144" t="s">
        <v>462</v>
      </c>
      <c r="B144" t="s">
        <v>460</v>
      </c>
      <c r="C144" t="s">
        <v>463</v>
      </c>
      <c r="D144" t="s">
        <v>42</v>
      </c>
      <c r="E144" t="s">
        <v>365</v>
      </c>
      <c r="F144">
        <v>0</v>
      </c>
      <c r="G144">
        <v>21</v>
      </c>
      <c r="H144">
        <v>1</v>
      </c>
      <c r="I144">
        <v>1</v>
      </c>
      <c r="J144">
        <f>Table1[[#This Row],[Start: Minute]]*60+Table1[[#This Row],[Start: Second]]</f>
        <v>21</v>
      </c>
      <c r="K144">
        <f t="shared" si="5"/>
        <v>61</v>
      </c>
    </row>
    <row r="145" spans="1:11" x14ac:dyDescent="0.2">
      <c r="A145" t="s">
        <v>464</v>
      </c>
      <c r="B145" t="s">
        <v>182</v>
      </c>
      <c r="C145" t="s">
        <v>465</v>
      </c>
      <c r="D145" t="s">
        <v>42</v>
      </c>
      <c r="E145" t="s">
        <v>365</v>
      </c>
      <c r="F145">
        <v>0</v>
      </c>
      <c r="G145">
        <v>30</v>
      </c>
      <c r="H145">
        <v>1</v>
      </c>
      <c r="I145">
        <v>11</v>
      </c>
      <c r="J145">
        <f>Table1[[#This Row],[Start: Minute]]*60+Table1[[#This Row],[Start: Second]]</f>
        <v>30</v>
      </c>
      <c r="K145">
        <f t="shared" si="5"/>
        <v>71</v>
      </c>
    </row>
    <row r="146" spans="1:11" x14ac:dyDescent="0.2">
      <c r="A146" t="s">
        <v>466</v>
      </c>
      <c r="B146" t="s">
        <v>203</v>
      </c>
      <c r="C146" t="s">
        <v>204</v>
      </c>
      <c r="D146" t="s">
        <v>467</v>
      </c>
      <c r="E146" t="s">
        <v>365</v>
      </c>
      <c r="F146">
        <v>0</v>
      </c>
      <c r="G146">
        <v>41</v>
      </c>
      <c r="H146">
        <v>1</v>
      </c>
      <c r="I146">
        <v>23</v>
      </c>
      <c r="J146">
        <f>Table1[[#This Row],[Start: Minute]]*60+Table1[[#This Row],[Start: Second]]</f>
        <v>41</v>
      </c>
      <c r="K146">
        <f t="shared" si="5"/>
        <v>83</v>
      </c>
    </row>
    <row r="147" spans="1:11" x14ac:dyDescent="0.2">
      <c r="A147" t="s">
        <v>468</v>
      </c>
      <c r="B147" t="s">
        <v>74</v>
      </c>
      <c r="C147" t="s">
        <v>75</v>
      </c>
      <c r="D147" t="s">
        <v>42</v>
      </c>
      <c r="E147" t="s">
        <v>365</v>
      </c>
      <c r="F147">
        <v>0</v>
      </c>
      <c r="G147">
        <v>35</v>
      </c>
      <c r="H147">
        <v>1</v>
      </c>
      <c r="I147">
        <v>8</v>
      </c>
      <c r="J147">
        <f>Table1[[#This Row],[Start: Minute]]*60+Table1[[#This Row],[Start: Second]]</f>
        <v>35</v>
      </c>
      <c r="K147">
        <f t="shared" si="5"/>
        <v>68</v>
      </c>
    </row>
    <row r="148" spans="1:11" x14ac:dyDescent="0.2">
      <c r="A148" t="s">
        <v>469</v>
      </c>
      <c r="B148" t="s">
        <v>74</v>
      </c>
      <c r="C148" t="s">
        <v>470</v>
      </c>
      <c r="D148" t="s">
        <v>42</v>
      </c>
      <c r="E148" t="s">
        <v>365</v>
      </c>
      <c r="F148">
        <v>0</v>
      </c>
      <c r="G148">
        <v>25</v>
      </c>
      <c r="H148">
        <v>1</v>
      </c>
      <c r="I148">
        <v>7</v>
      </c>
      <c r="J148">
        <f>Table1[[#This Row],[Start: Minute]]*60+Table1[[#This Row],[Start: Second]]</f>
        <v>25</v>
      </c>
      <c r="K148">
        <f t="shared" si="5"/>
        <v>67</v>
      </c>
    </row>
    <row r="149" spans="1:11" x14ac:dyDescent="0.2">
      <c r="A149" t="s">
        <v>471</v>
      </c>
      <c r="B149" t="s">
        <v>120</v>
      </c>
      <c r="C149" t="s">
        <v>121</v>
      </c>
      <c r="D149" t="s">
        <v>42</v>
      </c>
      <c r="E149" t="s">
        <v>365</v>
      </c>
      <c r="F149">
        <v>0</v>
      </c>
      <c r="G149">
        <v>0</v>
      </c>
      <c r="H149">
        <v>1</v>
      </c>
      <c r="I149">
        <v>5</v>
      </c>
      <c r="J149">
        <f>Table1[[#This Row],[Start: Minute]]*60+Table1[[#This Row],[Start: Second]]</f>
        <v>0</v>
      </c>
      <c r="K149">
        <f t="shared" si="5"/>
        <v>65</v>
      </c>
    </row>
    <row r="150" spans="1:11" x14ac:dyDescent="0.2">
      <c r="A150" t="s">
        <v>472</v>
      </c>
      <c r="B150" t="s">
        <v>249</v>
      </c>
      <c r="C150" t="s">
        <v>473</v>
      </c>
      <c r="D150" t="s">
        <v>467</v>
      </c>
      <c r="E150" t="s">
        <v>365</v>
      </c>
      <c r="F150">
        <v>0</v>
      </c>
      <c r="G150">
        <v>19</v>
      </c>
      <c r="H150">
        <v>0</v>
      </c>
      <c r="I150">
        <v>50</v>
      </c>
      <c r="J150">
        <f>Table1[[#This Row],[Start: Minute]]*60+Table1[[#This Row],[Start: Second]]</f>
        <v>19</v>
      </c>
      <c r="K150">
        <f t="shared" si="5"/>
        <v>50</v>
      </c>
    </row>
    <row r="151" spans="1:11" x14ac:dyDescent="0.2">
      <c r="A151" t="s">
        <v>474</v>
      </c>
      <c r="B151" t="s">
        <v>475</v>
      </c>
      <c r="C151" t="s">
        <v>476</v>
      </c>
      <c r="D151" t="s">
        <v>42</v>
      </c>
      <c r="E151" t="s">
        <v>365</v>
      </c>
      <c r="F151">
        <v>0</v>
      </c>
      <c r="G151">
        <v>35</v>
      </c>
      <c r="H151">
        <v>1</v>
      </c>
      <c r="I151">
        <v>29</v>
      </c>
      <c r="J151">
        <f>Table1[[#This Row],[Start: Minute]]*60+Table1[[#This Row],[Start: Second]]</f>
        <v>35</v>
      </c>
      <c r="K151">
        <f t="shared" si="5"/>
        <v>89</v>
      </c>
    </row>
    <row r="152" spans="1:11" x14ac:dyDescent="0.2">
      <c r="A152" t="s">
        <v>477</v>
      </c>
      <c r="B152" t="s">
        <v>478</v>
      </c>
      <c r="C152" t="s">
        <v>479</v>
      </c>
      <c r="D152" t="s">
        <v>42</v>
      </c>
      <c r="E152" t="s">
        <v>365</v>
      </c>
      <c r="F152">
        <v>1</v>
      </c>
      <c r="G152">
        <v>8</v>
      </c>
      <c r="H152">
        <v>1</v>
      </c>
      <c r="I152">
        <v>49</v>
      </c>
      <c r="J152">
        <f>Table1[[#This Row],[Start: Minute]]*60+Table1[[#This Row],[Start: Second]]</f>
        <v>68</v>
      </c>
      <c r="K152">
        <f t="shared" si="5"/>
        <v>109</v>
      </c>
    </row>
    <row r="153" spans="1:11" x14ac:dyDescent="0.2">
      <c r="A153" t="s">
        <v>480</v>
      </c>
      <c r="B153" t="s">
        <v>478</v>
      </c>
      <c r="C153" t="s">
        <v>481</v>
      </c>
      <c r="D153" t="s">
        <v>135</v>
      </c>
      <c r="E153" t="s">
        <v>365</v>
      </c>
      <c r="F153">
        <v>0</v>
      </c>
      <c r="G153">
        <v>0</v>
      </c>
      <c r="H153">
        <v>0</v>
      </c>
      <c r="I153">
        <v>32</v>
      </c>
      <c r="J153">
        <f>Table1[[#This Row],[Start: Minute]]*60+Table1[[#This Row],[Start: Second]]</f>
        <v>0</v>
      </c>
      <c r="K153">
        <f t="shared" si="5"/>
        <v>32</v>
      </c>
    </row>
    <row r="154" spans="1:11" x14ac:dyDescent="0.2">
      <c r="A154" t="s">
        <v>482</v>
      </c>
      <c r="B154" t="s">
        <v>177</v>
      </c>
      <c r="C154" t="s">
        <v>483</v>
      </c>
      <c r="D154" t="s">
        <v>467</v>
      </c>
      <c r="E154" t="s">
        <v>365</v>
      </c>
      <c r="F154">
        <v>0</v>
      </c>
      <c r="G154">
        <v>35</v>
      </c>
      <c r="H154">
        <v>1</v>
      </c>
      <c r="I154">
        <v>15</v>
      </c>
      <c r="J154">
        <f>Table1[[#This Row],[Start: Minute]]*60+Table1[[#This Row],[Start: Second]]</f>
        <v>35</v>
      </c>
      <c r="K154">
        <f t="shared" si="5"/>
        <v>75</v>
      </c>
    </row>
    <row r="155" spans="1:11" x14ac:dyDescent="0.2">
      <c r="A155" t="s">
        <v>484</v>
      </c>
      <c r="B155" t="s">
        <v>177</v>
      </c>
      <c r="C155" t="s">
        <v>485</v>
      </c>
      <c r="D155" t="s">
        <v>42</v>
      </c>
      <c r="E155" t="s">
        <v>365</v>
      </c>
      <c r="F155">
        <v>0</v>
      </c>
      <c r="G155">
        <v>35</v>
      </c>
      <c r="H155">
        <v>1</v>
      </c>
      <c r="I155">
        <v>20</v>
      </c>
      <c r="J155">
        <f>Table1[[#This Row],[Start: Minute]]*60+Table1[[#This Row],[Start: Second]]</f>
        <v>35</v>
      </c>
      <c r="K155">
        <f t="shared" si="5"/>
        <v>80</v>
      </c>
    </row>
    <row r="156" spans="1:11" x14ac:dyDescent="0.2">
      <c r="A156" t="s">
        <v>486</v>
      </c>
      <c r="B156" t="s">
        <v>487</v>
      </c>
      <c r="C156" t="s">
        <v>488</v>
      </c>
      <c r="D156" t="s">
        <v>42</v>
      </c>
      <c r="E156" t="s">
        <v>365</v>
      </c>
      <c r="F156">
        <v>0</v>
      </c>
      <c r="G156">
        <v>27</v>
      </c>
      <c r="H156">
        <v>1</v>
      </c>
      <c r="I156">
        <v>10</v>
      </c>
      <c r="J156">
        <f>Table1[[#This Row],[Start: Minute]]*60+Table1[[#This Row],[Start: Second]]</f>
        <v>27</v>
      </c>
      <c r="K156">
        <f t="shared" si="5"/>
        <v>70</v>
      </c>
    </row>
    <row r="157" spans="1:11" x14ac:dyDescent="0.2">
      <c r="A157" t="s">
        <v>489</v>
      </c>
      <c r="B157" t="s">
        <v>490</v>
      </c>
      <c r="C157" t="s">
        <v>491</v>
      </c>
      <c r="D157" t="s">
        <v>42</v>
      </c>
      <c r="E157" t="s">
        <v>365</v>
      </c>
      <c r="F157">
        <v>0</v>
      </c>
      <c r="G157">
        <v>28</v>
      </c>
      <c r="H157">
        <v>0</v>
      </c>
      <c r="I157">
        <v>55</v>
      </c>
      <c r="J157">
        <f>Table1[[#This Row],[Start: Minute]]*60+Table1[[#This Row],[Start: Second]]</f>
        <v>28</v>
      </c>
      <c r="K157">
        <f t="shared" si="5"/>
        <v>55</v>
      </c>
    </row>
    <row r="158" spans="1:11" x14ac:dyDescent="0.2">
      <c r="A158" t="s">
        <v>492</v>
      </c>
      <c r="B158" t="s">
        <v>490</v>
      </c>
      <c r="C158" t="s">
        <v>493</v>
      </c>
      <c r="D158" t="s">
        <v>42</v>
      </c>
      <c r="E158" t="s">
        <v>365</v>
      </c>
      <c r="F158">
        <v>0</v>
      </c>
      <c r="G158">
        <v>30</v>
      </c>
      <c r="H158">
        <v>1</v>
      </c>
      <c r="I158">
        <v>13</v>
      </c>
      <c r="J158">
        <f>Table1[[#This Row],[Start: Minute]]*60+Table1[[#This Row],[Start: Second]]</f>
        <v>30</v>
      </c>
      <c r="K158">
        <f t="shared" si="5"/>
        <v>73</v>
      </c>
    </row>
    <row r="159" spans="1:11" x14ac:dyDescent="0.2">
      <c r="A159" t="s">
        <v>494</v>
      </c>
      <c r="B159" t="s">
        <v>495</v>
      </c>
      <c r="C159" t="s">
        <v>496</v>
      </c>
      <c r="D159" t="s">
        <v>42</v>
      </c>
      <c r="E159" t="s">
        <v>365</v>
      </c>
      <c r="F159">
        <v>0</v>
      </c>
      <c r="G159">
        <v>57</v>
      </c>
      <c r="H159">
        <v>1</v>
      </c>
      <c r="I159">
        <v>29</v>
      </c>
      <c r="J159">
        <f>Table1[[#This Row],[Start: Minute]]*60+Table1[[#This Row],[Start: Second]]</f>
        <v>57</v>
      </c>
      <c r="K159">
        <f t="shared" si="5"/>
        <v>89</v>
      </c>
    </row>
    <row r="160" spans="1:11" x14ac:dyDescent="0.2">
      <c r="A160" t="s">
        <v>497</v>
      </c>
      <c r="B160" t="s">
        <v>495</v>
      </c>
      <c r="C160" t="s">
        <v>498</v>
      </c>
      <c r="D160" t="s">
        <v>42</v>
      </c>
      <c r="E160" t="s">
        <v>365</v>
      </c>
      <c r="F160">
        <v>0</v>
      </c>
      <c r="G160">
        <v>35</v>
      </c>
      <c r="H160">
        <v>1</v>
      </c>
      <c r="I160">
        <v>19</v>
      </c>
      <c r="J160">
        <f>Table1[[#This Row],[Start: Minute]]*60+Table1[[#This Row],[Start: Second]]</f>
        <v>35</v>
      </c>
      <c r="K160">
        <f t="shared" si="5"/>
        <v>79</v>
      </c>
    </row>
    <row r="161" spans="1:11" x14ac:dyDescent="0.2">
      <c r="A161" t="s">
        <v>499</v>
      </c>
      <c r="B161" t="s">
        <v>500</v>
      </c>
      <c r="C161" t="s">
        <v>501</v>
      </c>
      <c r="D161" t="s">
        <v>79</v>
      </c>
      <c r="E161" t="s">
        <v>365</v>
      </c>
      <c r="F161">
        <v>2</v>
      </c>
      <c r="G161">
        <v>25</v>
      </c>
      <c r="H161">
        <v>3</v>
      </c>
      <c r="I161">
        <v>12</v>
      </c>
      <c r="J161">
        <f>Table1[[#This Row],[Start: Minute]]*60+Table1[[#This Row],[Start: Second]]</f>
        <v>145</v>
      </c>
      <c r="K161">
        <f t="shared" si="5"/>
        <v>192</v>
      </c>
    </row>
    <row r="162" spans="1:11" x14ac:dyDescent="0.2">
      <c r="A162" t="s">
        <v>502</v>
      </c>
      <c r="B162" t="s">
        <v>444</v>
      </c>
      <c r="C162" t="s">
        <v>503</v>
      </c>
      <c r="D162" t="s">
        <v>42</v>
      </c>
      <c r="E162" t="s">
        <v>365</v>
      </c>
      <c r="F162">
        <v>0</v>
      </c>
      <c r="G162">
        <v>30</v>
      </c>
      <c r="H162">
        <v>1</v>
      </c>
      <c r="I162">
        <v>6</v>
      </c>
      <c r="J162">
        <f>Table1[[#This Row],[Start: Minute]]*60+Table1[[#This Row],[Start: Second]]</f>
        <v>30</v>
      </c>
      <c r="K162">
        <f t="shared" si="5"/>
        <v>66</v>
      </c>
    </row>
    <row r="163" spans="1:11" x14ac:dyDescent="0.2">
      <c r="A163" t="s">
        <v>504</v>
      </c>
      <c r="B163" t="s">
        <v>120</v>
      </c>
      <c r="C163" t="s">
        <v>505</v>
      </c>
      <c r="D163" t="s">
        <v>42</v>
      </c>
      <c r="E163" t="s">
        <v>365</v>
      </c>
      <c r="F163">
        <v>0</v>
      </c>
      <c r="G163">
        <v>10</v>
      </c>
      <c r="H163">
        <v>1</v>
      </c>
      <c r="I163">
        <v>6</v>
      </c>
      <c r="J163">
        <f>Table1[[#This Row],[Start: Minute]]*60+Table1[[#This Row],[Start: Second]]</f>
        <v>10</v>
      </c>
      <c r="K163">
        <f t="shared" si="5"/>
        <v>66</v>
      </c>
    </row>
  </sheetData>
  <hyperlinks>
    <hyperlink ref="A92" r:id="rId1" xr:uid="{38180E4D-AC15-4FBC-9EEA-2670C259481F}"/>
    <hyperlink ref="A54" r:id="rId2" xr:uid="{3FFEE9BD-4FCB-466A-905A-25E84EBEA761}"/>
    <hyperlink ref="A84" r:id="rId3" xr:uid="{C146B958-B1D1-478E-BE5F-8C0CD2F884E1}"/>
    <hyperlink ref="A96" r:id="rId4" xr:uid="{E4DB3F7C-9667-4D49-9CEC-E1988F6754B2}"/>
    <hyperlink ref="A57" r:id="rId5" xr:uid="{EF88A295-3055-4D59-9A1E-0B18C24F58F0}"/>
    <hyperlink ref="A29" r:id="rId6" xr:uid="{5638C3E8-74A6-45BE-931B-7858A1B11F20}"/>
    <hyperlink ref="A10" r:id="rId7" xr:uid="{64CD3781-939F-4C76-A6DE-9C2EE360E2FA}"/>
    <hyperlink ref="A30" r:id="rId8" display="https://youtu.be/f1uqCXwawW4?si=sCZlu7h3hAEqoH1h" xr:uid="{B7C46FAF-C704-4A6F-B91E-42846A827E4E}"/>
    <hyperlink ref="A40" r:id="rId9" xr:uid="{6FEEE5CC-C2CB-4998-9D4B-AFF7E1AFE1CE}"/>
    <hyperlink ref="A24" r:id="rId10" xr:uid="{980D4DDF-5E06-41B6-83C4-3364476FA772}"/>
    <hyperlink ref="A69" r:id="rId11" xr:uid="{107ECB51-0A93-4998-92D7-D8DD72D7EAA0}"/>
    <hyperlink ref="A8" r:id="rId12" xr:uid="{9A07D020-E6E2-4D12-AF49-524BA3BF84C1}"/>
    <hyperlink ref="A52" r:id="rId13" xr:uid="{60EA408B-7CCC-4A0F-9DC2-CCCCB5770319}"/>
    <hyperlink ref="A97" r:id="rId14" xr:uid="{81E2B930-639C-4244-9EF0-F877E1040E16}"/>
    <hyperlink ref="A66" r:id="rId15" xr:uid="{E9AE7AE0-5EF7-43E5-9FEA-6CCDB6AAC9C7}"/>
    <hyperlink ref="A4" r:id="rId16" xr:uid="{D11E08F2-4EF9-449C-87D9-3EF4E4978660}"/>
    <hyperlink ref="A27" r:id="rId17" xr:uid="{2303971C-E5B9-4E3F-96DB-BE3E7270D783}"/>
    <hyperlink ref="A13" r:id="rId18" xr:uid="{F095CD58-265C-4CDD-8C2C-AE33E41CFD6D}"/>
    <hyperlink ref="A21" r:id="rId19" xr:uid="{39533221-800A-41E0-B81B-2B5D8B46AC3B}"/>
    <hyperlink ref="A72" r:id="rId20" xr:uid="{EDF84F89-578D-4CC2-A6DA-FA4FC3202046}"/>
    <hyperlink ref="A51" r:id="rId21" xr:uid="{99874292-B8AB-413F-9B01-8521867AA503}"/>
    <hyperlink ref="A43" r:id="rId22" xr:uid="{1D661DBB-0C6C-4A42-BC9D-041EEF85A81D}"/>
    <hyperlink ref="A22" r:id="rId23" xr:uid="{724EE5F5-8226-4590-A53C-BF464B7FCCB1}"/>
    <hyperlink ref="A35" r:id="rId24" xr:uid="{F187CA2C-CDD9-4AA1-BE39-5F9248B608FC}"/>
    <hyperlink ref="A55" r:id="rId25" xr:uid="{78CD746C-BB25-4B0B-99C6-44F757239ABD}"/>
    <hyperlink ref="A98" r:id="rId26" xr:uid="{C55AB03A-13EF-4426-958D-2378D519A1A7}"/>
    <hyperlink ref="A94" r:id="rId27" xr:uid="{E927CF42-40F7-4C61-B074-D003AB9B8F81}"/>
    <hyperlink ref="A79" r:id="rId28" xr:uid="{7F2C330E-E757-46AD-BB10-757491490AE5}"/>
    <hyperlink ref="A15" r:id="rId29" xr:uid="{E10AA325-18D4-4671-8514-6A51A31E8513}"/>
    <hyperlink ref="A12" r:id="rId30" xr:uid="{370DCB42-2D7F-4BCF-BBEE-ECFC530684CD}"/>
    <hyperlink ref="A67" r:id="rId31" xr:uid="{0EF4CC95-BB4B-4D8D-828F-9D4E6E29BB51}"/>
    <hyperlink ref="A3" r:id="rId32" xr:uid="{19790A1C-F16A-45EE-926B-845AC1AD4ABD}"/>
    <hyperlink ref="A71" r:id="rId33" xr:uid="{8BA5A944-F3BD-4F1E-8052-57128F6146EF}"/>
    <hyperlink ref="A44" r:id="rId34" xr:uid="{3B8DA558-E67C-4F67-84AA-EBB074EC1FFC}"/>
    <hyperlink ref="A80" r:id="rId35" xr:uid="{4A4B34D5-D0C5-44B8-ACE2-26A511DCEAF4}"/>
    <hyperlink ref="A77" r:id="rId36" xr:uid="{F982462F-A3E9-43E1-BA78-C0EF4DAF51FF}"/>
    <hyperlink ref="A28" r:id="rId37" xr:uid="{49A2C3B8-8EC3-4A78-AD66-016EAC50191D}"/>
    <hyperlink ref="A75" r:id="rId38" xr:uid="{33C9CD61-22EE-4E47-B213-E0DCCC45AF89}"/>
    <hyperlink ref="A33" r:id="rId39" xr:uid="{AAD5CFF9-4859-47FE-95BC-01BC8C196AA2}"/>
    <hyperlink ref="A58" r:id="rId40" xr:uid="{6E4B61F5-43C8-493A-96DC-D270C3F5E8B9}"/>
    <hyperlink ref="A85" r:id="rId41" xr:uid="{36EFA01E-B470-48C7-A966-3D8372AE8579}"/>
    <hyperlink ref="A36" r:id="rId42" xr:uid="{48226056-19B5-4829-8FE8-A3E95FBFC983}"/>
    <hyperlink ref="A90" r:id="rId43" xr:uid="{EECEF979-F65E-4CD7-9247-DBC4C7369457}"/>
    <hyperlink ref="A89" r:id="rId44" xr:uid="{7753C561-CCA4-4092-A0D6-FE5623DCAB89}"/>
    <hyperlink ref="A81" r:id="rId45" xr:uid="{7FCB04B6-69C9-43E9-AD6E-E73DE0C7EB48}"/>
    <hyperlink ref="A70" r:id="rId46" xr:uid="{F056A3A9-3925-4519-8C6B-9E9FFCF85C74}"/>
    <hyperlink ref="A62" r:id="rId47" xr:uid="{9319CF2B-6F6B-4148-BDEE-16FD9EC86F88}"/>
    <hyperlink ref="A73" r:id="rId48" xr:uid="{7665D712-A533-4F73-B23F-F848A3504EB5}"/>
    <hyperlink ref="A99" r:id="rId49" xr:uid="{1E12B338-C892-47F6-811D-77D7C4FCA59A}"/>
    <hyperlink ref="A100" r:id="rId50" xr:uid="{3059F646-D818-440F-B895-AAC9989BDDA9}"/>
    <hyperlink ref="A76" r:id="rId51" xr:uid="{6CE235A7-7712-4013-9016-E6EFB202B311}"/>
    <hyperlink ref="A14" r:id="rId52" xr:uid="{C1BC18FB-D6DC-4927-B34B-AFD238ABCC08}"/>
    <hyperlink ref="A41" r:id="rId53" xr:uid="{951123E9-F67E-4507-9427-7C8160FAFF0B}"/>
    <hyperlink ref="A95" r:id="rId54" xr:uid="{8FC90312-5E46-4F1C-BA19-473EEE965618}"/>
    <hyperlink ref="A11" r:id="rId55" xr:uid="{E5FE4E8B-8959-4299-8AD9-904BC87E6EE9}"/>
    <hyperlink ref="A65" r:id="rId56" xr:uid="{2B5EA6BA-1271-4314-8AA9-528B211D2AC9}"/>
    <hyperlink ref="A88" r:id="rId57" xr:uid="{CC854990-F279-415C-A6ED-F3926C51BA2C}"/>
    <hyperlink ref="A9" r:id="rId58" xr:uid="{6247DAD3-E309-45F1-AA3F-9744AE56750A}"/>
    <hyperlink ref="A102" r:id="rId59" xr:uid="{FBAF6CAC-88A4-4A67-B6E9-1287048FA769}"/>
    <hyperlink ref="A61" r:id="rId60" xr:uid="{FE8897AA-4F9B-4BAC-BC82-6E4FC2BD31C9}"/>
    <hyperlink ref="A42" r:id="rId61" xr:uid="{B48E0031-06DE-42E9-B329-A914E4652824}"/>
    <hyperlink ref="A49" r:id="rId62" xr:uid="{B24854BE-3D12-4BB2-930E-7ED8F102C1B0}"/>
    <hyperlink ref="A37" r:id="rId63" xr:uid="{34B6E0C9-D533-4800-987A-F3EFE438DB0F}"/>
    <hyperlink ref="A16" r:id="rId64" xr:uid="{341B5CBF-B455-4E03-823C-3D483DAC1CE8}"/>
    <hyperlink ref="A19" r:id="rId65" xr:uid="{FDF2F26F-6530-41CD-A32C-64BA89FA6F5A}"/>
    <hyperlink ref="A63" r:id="rId66" xr:uid="{7DFC58AD-A71C-4E49-BA8A-F03B63B9D73F}"/>
    <hyperlink ref="A45" r:id="rId67" xr:uid="{DF4DB8C2-E1F0-4C18-8587-4B1D41FC13CB}"/>
    <hyperlink ref="A53" r:id="rId68" xr:uid="{D135D3A5-D12E-4317-91A9-21898A614772}"/>
    <hyperlink ref="A78" r:id="rId69" xr:uid="{CEEA8B9C-1031-4C24-8517-B502F173C1DD}"/>
    <hyperlink ref="A93" r:id="rId70" xr:uid="{1B0A5197-1A23-47CC-B1F9-C7EC227259EB}"/>
    <hyperlink ref="A103" r:id="rId71" xr:uid="{78F687B5-8E52-4AA4-9A20-9B5AD03F734A}"/>
    <hyperlink ref="A25" r:id="rId72" xr:uid="{3036AD15-6131-409E-98BA-817F517DC9CA}"/>
    <hyperlink ref="A74" r:id="rId73" xr:uid="{B8CBCB54-F785-44E9-92C4-CB665CFED1D2}"/>
    <hyperlink ref="A82" r:id="rId74" xr:uid="{8D1DE0B4-91D2-40FA-9B0D-846F51EDE132}"/>
    <hyperlink ref="A32" r:id="rId75" display="https://youtu.be/XVPsWmVr5CU?si=XMFWktHMin8Go79e" xr:uid="{442B1E74-DE5E-49FF-ABBC-AD5C372D38DC}"/>
    <hyperlink ref="A91" r:id="rId76" xr:uid="{2AA1E0C3-F90D-4140-815A-16E7996A6794}"/>
    <hyperlink ref="A83" r:id="rId77" xr:uid="{51D1A55D-9BAA-4C08-A446-7A50DE84EB63}"/>
    <hyperlink ref="A18" r:id="rId78" xr:uid="{7DA9C1E3-54F2-4280-A260-D171862D2693}"/>
    <hyperlink ref="A87" r:id="rId79" xr:uid="{E323C24D-E190-4FA5-ABF2-F6714D5D9291}"/>
    <hyperlink ref="A17" r:id="rId80" xr:uid="{0F27AF9A-45AF-40BE-B6E9-35D343026B96}"/>
    <hyperlink ref="A48" r:id="rId81" xr:uid="{42DC7782-35FF-44F8-BA0B-DA8C58B9D236}"/>
    <hyperlink ref="A59" r:id="rId82" xr:uid="{54DB286A-5DBB-4716-A7BC-EDDC6C897322}"/>
    <hyperlink ref="A101" r:id="rId83" xr:uid="{1D20493C-B41E-4D80-B1FC-D803D402BB49}"/>
    <hyperlink ref="A46" r:id="rId84" xr:uid="{022A5949-B714-4935-9715-6B9759D381F9}"/>
    <hyperlink ref="A26" r:id="rId85" xr:uid="{454AF847-CFB1-433F-A51B-78A7552E7F07}"/>
    <hyperlink ref="A68" r:id="rId86" xr:uid="{45060750-97AE-46A5-ADFE-D1773E113503}"/>
    <hyperlink ref="A34" r:id="rId87" xr:uid="{CED2D209-62CC-427F-98EE-DE4A39CE89D0}"/>
    <hyperlink ref="A50" r:id="rId88" xr:uid="{39D74C49-D734-4082-B0A5-C77D2B074ED0}"/>
    <hyperlink ref="A23" r:id="rId89" xr:uid="{196742C8-1A5F-48DC-9A16-F6F3ACFE21F2}"/>
    <hyperlink ref="A38" r:id="rId90" xr:uid="{09A306D1-3DCA-421B-839B-7E51A1DB558E}"/>
    <hyperlink ref="A86" r:id="rId91" xr:uid="{C03D6CDB-6C56-4C45-A6C1-441E5BF696BE}"/>
    <hyperlink ref="A31" r:id="rId92" xr:uid="{D66EB82F-2789-458B-BFE0-D6068DAB0AD2}"/>
    <hyperlink ref="A6" r:id="rId93" xr:uid="{D3A22BA7-1F21-44B0-925E-FB7FF97FCC07}"/>
    <hyperlink ref="A39" r:id="rId94" xr:uid="{4406A616-5B5E-4B60-8A2C-CF623192063D}"/>
    <hyperlink ref="A56" r:id="rId95" xr:uid="{4050108A-662B-46A3-A10D-DF7EBB3F3AA8}"/>
    <hyperlink ref="A64" r:id="rId96" xr:uid="{F873425B-AC2B-40A7-84E1-FC6DB812ABF1}"/>
    <hyperlink ref="A2" r:id="rId97" xr:uid="{8C8BF4C6-477A-4369-A96E-BBE480562DA9}"/>
    <hyperlink ref="A47" r:id="rId98" xr:uid="{F9D6A611-76B5-4CE1-B275-71BBFA46BB93}"/>
    <hyperlink ref="A7" r:id="rId99" xr:uid="{AEA7666E-E584-4921-9892-077F837E27F6}"/>
    <hyperlink ref="A20" r:id="rId100" xr:uid="{1C093E74-DC28-4227-B477-A432E55D77A2}"/>
    <hyperlink ref="A60" r:id="rId101" xr:uid="{2EE982FE-F2A3-4034-864F-DC4B89FF0045}"/>
  </hyperlinks>
  <pageMargins left="0.7" right="0.7" top="0.75" bottom="0.75" header="0.3" footer="0.3"/>
  <pageSetup paperSize="9" orientation="portrait" horizontalDpi="0" verticalDpi="0"/>
  <tableParts count="1">
    <tablePart r:id="rId102"/>
  </tableParts>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Playlist Configuration</vt:lpstr>
      <vt:lpstr>List Rules</vt:lpstr>
      <vt:lpstr>Songlist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EinUnknownPlayer</dc:creator>
  <cp:keywords/>
  <dc:description/>
  <cp:lastModifiedBy>Phi Long Tran</cp:lastModifiedBy>
  <cp:revision/>
  <dcterms:created xsi:type="dcterms:W3CDTF">2015-06-05T18:19:34Z</dcterms:created>
  <dcterms:modified xsi:type="dcterms:W3CDTF">2026-01-15T19:46:48Z</dcterms:modified>
  <cp:category/>
  <cp:contentStatus/>
</cp:coreProperties>
</file>